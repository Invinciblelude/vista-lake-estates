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79DBF3BB2AC5882/Documents/"/>
    </mc:Choice>
  </mc:AlternateContent>
  <xr:revisionPtr revIDLastSave="0" documentId="8_{EA008ECC-4ABF-45C4-A0AC-DD48FDDA9F84}" xr6:coauthVersionLast="47" xr6:coauthVersionMax="47" xr10:uidLastSave="{00000000-0000-0000-0000-000000000000}"/>
  <bookViews>
    <workbookView xWindow="-110" yWindow="-110" windowWidth="19420" windowHeight="10300" xr2:uid="{0CDF180D-5345-45C5-AD26-835298CD8C67}"/>
  </bookViews>
  <sheets>
    <sheet name="Curent opportunity'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J44" i="1" l="1"/>
  <c r="J45" i="1"/>
  <c r="L16" i="1" l="1"/>
  <c r="I16" i="1"/>
  <c r="J16" i="1" s="1"/>
  <c r="Q16" i="1"/>
  <c r="Q15" i="1"/>
  <c r="L15" i="1"/>
  <c r="I15" i="1"/>
  <c r="J15" i="1" s="1"/>
  <c r="Q14" i="1"/>
  <c r="L14" i="1"/>
  <c r="I14" i="1"/>
  <c r="J14" i="1" s="1"/>
  <c r="Q44" i="1" l="1"/>
  <c r="K44" i="1" s="1"/>
  <c r="L44" i="1" s="1"/>
  <c r="L36" i="1"/>
  <c r="I36" i="1"/>
  <c r="J36" i="1" s="1"/>
  <c r="L32" i="1"/>
  <c r="I32" i="1"/>
  <c r="J32" i="1" s="1"/>
  <c r="L31" i="1"/>
  <c r="J31" i="1"/>
  <c r="L30" i="1"/>
  <c r="J30" i="1"/>
  <c r="Q26" i="1"/>
  <c r="L26" i="1"/>
  <c r="I26" i="1"/>
  <c r="J26" i="1" s="1"/>
  <c r="L41" i="1"/>
  <c r="I41" i="1"/>
  <c r="J41" i="1" s="1"/>
  <c r="L35" i="1"/>
  <c r="J35" i="1"/>
  <c r="L34" i="1"/>
  <c r="I34" i="1"/>
  <c r="J34" i="1" s="1"/>
  <c r="L33" i="1"/>
  <c r="I33" i="1"/>
  <c r="J33" i="1" s="1"/>
  <c r="L28" i="1"/>
  <c r="I28" i="1"/>
  <c r="J28" i="1" s="1"/>
  <c r="L25" i="1"/>
  <c r="I25" i="1"/>
  <c r="J25" i="1" s="1"/>
  <c r="Q47" i="1" l="1"/>
  <c r="K47" i="1" s="1"/>
  <c r="L47" i="1" s="1"/>
  <c r="I47" i="1"/>
  <c r="J47" i="1" s="1"/>
  <c r="L37" i="1"/>
  <c r="L29" i="1"/>
  <c r="I29" i="1" l="1"/>
  <c r="J29" i="1" s="1"/>
  <c r="I37" i="1" l="1"/>
  <c r="J37" i="1" s="1"/>
  <c r="I24" i="1"/>
  <c r="I40" i="1"/>
  <c r="J40" i="1" s="1"/>
  <c r="I27" i="1"/>
  <c r="J27" i="1" s="1"/>
  <c r="H51" i="1"/>
  <c r="G51" i="1"/>
  <c r="Q49" i="1"/>
  <c r="L49" i="1" s="1"/>
  <c r="I49" i="1"/>
  <c r="J49" i="1" s="1"/>
  <c r="I48" i="1" l="1"/>
  <c r="J48" i="1" s="1"/>
  <c r="Q43" i="1"/>
  <c r="L43" i="1" s="1"/>
  <c r="I43" i="1"/>
  <c r="J43" i="1" s="1"/>
  <c r="J5" i="1"/>
  <c r="I23" i="1" l="1"/>
  <c r="J24" i="1" l="1"/>
  <c r="J23" i="1"/>
  <c r="Q39" i="1" l="1"/>
  <c r="L39" i="1"/>
  <c r="I39" i="1"/>
  <c r="J39" i="1" s="1"/>
  <c r="Q22" i="1"/>
  <c r="L22" i="1"/>
  <c r="I22" i="1"/>
  <c r="J22" i="1" s="1"/>
  <c r="Q21" i="1"/>
  <c r="L21" i="1"/>
  <c r="I21" i="1"/>
  <c r="J21" i="1" s="1"/>
  <c r="J20" i="1"/>
  <c r="J19" i="1"/>
  <c r="Q18" i="1"/>
  <c r="I18" i="1"/>
  <c r="J18" i="1" s="1"/>
  <c r="Q17" i="1"/>
  <c r="I17" i="1"/>
  <c r="J17" i="1" s="1"/>
  <c r="Q13" i="1"/>
  <c r="L13" i="1"/>
  <c r="I13" i="1"/>
  <c r="J13" i="1" s="1"/>
  <c r="Q12" i="1"/>
  <c r="L12" i="1"/>
  <c r="I12" i="1"/>
  <c r="J12" i="1" s="1"/>
  <c r="Q11" i="1"/>
  <c r="K11" i="1" s="1"/>
  <c r="L11" i="1" s="1"/>
  <c r="I11" i="1"/>
  <c r="J11" i="1" s="1"/>
  <c r="Q10" i="1"/>
  <c r="L10" i="1"/>
  <c r="I10" i="1"/>
  <c r="J10" i="1" s="1"/>
  <c r="Q9" i="1"/>
  <c r="L9" i="1"/>
  <c r="I9" i="1"/>
  <c r="J9" i="1" s="1"/>
  <c r="Q8" i="1"/>
  <c r="L8" i="1" s="1"/>
  <c r="I8" i="1"/>
  <c r="J8" i="1" s="1"/>
  <c r="Q7" i="1"/>
  <c r="L7" i="1" s="1"/>
  <c r="I7" i="1"/>
  <c r="J7" i="1" s="1"/>
  <c r="Q6" i="1"/>
  <c r="K6" i="1" s="1"/>
  <c r="L6" i="1" s="1"/>
  <c r="I6" i="1"/>
  <c r="J6" i="1" s="1"/>
  <c r="Q4" i="1"/>
  <c r="L4" i="1" s="1"/>
  <c r="I4" i="1"/>
  <c r="J4" i="1" s="1"/>
  <c r="Q3" i="1"/>
  <c r="K3" i="1" s="1"/>
  <c r="L3" i="1" s="1"/>
  <c r="I3" i="1"/>
  <c r="J3" i="1" s="1"/>
  <c r="Q2" i="1"/>
  <c r="I2" i="1"/>
  <c r="I51" i="1" l="1"/>
  <c r="L2" i="1"/>
  <c r="J2" i="1"/>
  <c r="L17" i="1"/>
  <c r="L51" i="1" l="1"/>
  <c r="K51" i="1"/>
  <c r="Q48" i="1" l="1"/>
  <c r="P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catal</author>
  </authors>
  <commentList>
    <comment ref="G2" authorId="0" shapeId="0" xr:uid="{537B898B-0D28-4580-92FA-28886335A1F2}">
      <text>
        <r>
          <rPr>
            <b/>
            <sz val="9"/>
            <color indexed="81"/>
            <rFont val="Tahoma"/>
            <family val="2"/>
          </rPr>
          <t>catal:</t>
        </r>
        <r>
          <rPr>
            <sz val="9"/>
            <color indexed="81"/>
            <rFont val="Tahoma"/>
            <family val="2"/>
          </rPr>
          <t xml:space="preserve">
Flyer shows total costs @ 13,650,000 &amp; the profit total of 7.65M</t>
        </r>
      </text>
    </comment>
  </commentList>
</comments>
</file>

<file path=xl/sharedStrings.xml><?xml version="1.0" encoding="utf-8"?>
<sst xmlns="http://schemas.openxmlformats.org/spreadsheetml/2006/main" count="275" uniqueCount="168">
  <si>
    <t>Project No.</t>
  </si>
  <si>
    <t>Project Staus</t>
  </si>
  <si>
    <t xml:space="preserve">Close Expected Date </t>
  </si>
  <si>
    <t>Project Location(s)</t>
  </si>
  <si>
    <t>Property Description</t>
  </si>
  <si>
    <t>Project Link</t>
  </si>
  <si>
    <t xml:space="preserve">Total Cost: Land, Soft Costs, Site Costs, Vertical Costs </t>
  </si>
  <si>
    <t xml:space="preserve">Total Project Sell OUT 
</t>
  </si>
  <si>
    <t>Net Profit Potential</t>
  </si>
  <si>
    <t>ROI</t>
  </si>
  <si>
    <t>Capital Ask</t>
  </si>
  <si>
    <t>Funded by debt</t>
  </si>
  <si>
    <t>Loan with Lender</t>
  </si>
  <si>
    <t>Current Valued 
($ Million)</t>
  </si>
  <si>
    <t>Seller's Carry
($ Million)</t>
  </si>
  <si>
    <t xml:space="preserve">INVESTMENT Amount Request 
</t>
  </si>
  <si>
    <t xml:space="preserve">Brookwood </t>
  </si>
  <si>
    <t>Under construction</t>
  </si>
  <si>
    <t xml:space="preserve"> Roseville, CA</t>
  </si>
  <si>
    <t>17 Lots</t>
  </si>
  <si>
    <t>Brookwood</t>
  </si>
  <si>
    <t>750k</t>
  </si>
  <si>
    <t>2.6M</t>
  </si>
  <si>
    <t>Boulder Road</t>
  </si>
  <si>
    <t>Tentative Map</t>
  </si>
  <si>
    <t>Granite Bay, CA</t>
  </si>
  <si>
    <t>15 Custom Lots</t>
  </si>
  <si>
    <t>GB Vista_Investment Overview_24.06.19.pdf</t>
  </si>
  <si>
    <t>1.5M</t>
  </si>
  <si>
    <t>3.7M</t>
  </si>
  <si>
    <t>Brentwood</t>
  </si>
  <si>
    <t>Brentwood, CA</t>
  </si>
  <si>
    <t>8 Lots</t>
  </si>
  <si>
    <t>1M</t>
  </si>
  <si>
    <t>$800K</t>
  </si>
  <si>
    <t>Cambridge</t>
  </si>
  <si>
    <t>Cameron Park, CA</t>
  </si>
  <si>
    <t>12 Town Homes</t>
  </si>
  <si>
    <t>Cameron Park 12-units</t>
  </si>
  <si>
    <t>Sudor Lane</t>
  </si>
  <si>
    <t>Available</t>
  </si>
  <si>
    <t>Loomis, CA</t>
  </si>
  <si>
    <t>2 Homes</t>
  </si>
  <si>
    <t>1.6M</t>
  </si>
  <si>
    <t>1.2M</t>
  </si>
  <si>
    <t>Baldwin Lake</t>
  </si>
  <si>
    <t xml:space="preserve">Folsom, CA  </t>
  </si>
  <si>
    <t>3 Cust Homes</t>
  </si>
  <si>
    <t>Baldwin Dam</t>
  </si>
  <si>
    <t>500K</t>
  </si>
  <si>
    <t>2M</t>
  </si>
  <si>
    <t>150K</t>
  </si>
  <si>
    <t>Brady Lane</t>
  </si>
  <si>
    <t>Roseville, CA</t>
  </si>
  <si>
    <t>9 Lots</t>
  </si>
  <si>
    <t>700K</t>
  </si>
  <si>
    <t>River Disrict</t>
  </si>
  <si>
    <t>Sacramento, CA</t>
  </si>
  <si>
    <t>43 Units</t>
  </si>
  <si>
    <t>Link to 3 items</t>
  </si>
  <si>
    <t>South Point Meadows</t>
  </si>
  <si>
    <t>In Escrow</t>
  </si>
  <si>
    <t>Eldorado Hils</t>
  </si>
  <si>
    <t>7 Custom Lots</t>
  </si>
  <si>
    <t>Schaffer's Mill Golf</t>
  </si>
  <si>
    <t>Truckee</t>
  </si>
  <si>
    <t>1 Custom Lot</t>
  </si>
  <si>
    <t>Truckee 9300Nine Bark</t>
  </si>
  <si>
    <t>Custom Home</t>
  </si>
  <si>
    <t>Lincoln, CA</t>
  </si>
  <si>
    <t xml:space="preserve"> 2 10-Acre Lots</t>
  </si>
  <si>
    <t>Thermalands 20 acres</t>
  </si>
  <si>
    <t>Custom Lots</t>
  </si>
  <si>
    <t>Owned</t>
  </si>
  <si>
    <t>6 Custom Lots</t>
  </si>
  <si>
    <t>Bankhead Subdivsion</t>
  </si>
  <si>
    <t>Oakland, CA</t>
  </si>
  <si>
    <t>4 Custom Lots</t>
  </si>
  <si>
    <t>San Francisco, CA</t>
  </si>
  <si>
    <t>1 Custom Home</t>
  </si>
  <si>
    <t>San Francisco 62 Laidley St</t>
  </si>
  <si>
    <t>In escrow</t>
  </si>
  <si>
    <t>El Dorado Hills, CA</t>
  </si>
  <si>
    <t>1201 Lomand EDH</t>
  </si>
  <si>
    <t>Custom Home Build</t>
  </si>
  <si>
    <t>Alamo, CA</t>
  </si>
  <si>
    <t>Alamo - Oakshire Pl</t>
  </si>
  <si>
    <t>Custom Build</t>
  </si>
  <si>
    <t>Orinda, CA</t>
  </si>
  <si>
    <t>1 luxury Custom</t>
  </si>
  <si>
    <t xml:space="preserve">Danville, CA  </t>
  </si>
  <si>
    <t>413-Shirlee Dr - Danville</t>
  </si>
  <si>
    <t>SF Edgehill Way</t>
  </si>
  <si>
    <t>2 luxury Customs</t>
  </si>
  <si>
    <t>SF States St</t>
  </si>
  <si>
    <t xml:space="preserve">Napa, CA  </t>
  </si>
  <si>
    <t>Moss Beach, CA</t>
  </si>
  <si>
    <t>Vallemar Moss Beach</t>
  </si>
  <si>
    <t>Vineyard Homes - Stanly Ranch</t>
  </si>
  <si>
    <t>Larger Projects</t>
  </si>
  <si>
    <t>GV Hotel</t>
  </si>
  <si>
    <t>Grass Valley, CA</t>
  </si>
  <si>
    <t>75 room hotel</t>
  </si>
  <si>
    <t>Grass Valley Hotel 75 rooms</t>
  </si>
  <si>
    <t>5M</t>
  </si>
  <si>
    <t>3M</t>
  </si>
  <si>
    <t>S. Lake Tahoe, CA</t>
  </si>
  <si>
    <t>60 Unit Condos</t>
  </si>
  <si>
    <t>Zalanta Tahoe Condos 60 units</t>
  </si>
  <si>
    <t>Pinyon Creek II</t>
  </si>
  <si>
    <t xml:space="preserve">Truckee, CA </t>
  </si>
  <si>
    <t>38 Duet Homes</t>
  </si>
  <si>
    <t>West Oaks</t>
  </si>
  <si>
    <t>Final Map</t>
  </si>
  <si>
    <t>Rocklin, CA</t>
  </si>
  <si>
    <t>371 Units</t>
  </si>
  <si>
    <t>6301_6351 W Oaks_BRO.pdf</t>
  </si>
  <si>
    <t>25M</t>
  </si>
  <si>
    <t>Available-investors</t>
  </si>
  <si>
    <t>Bay Area</t>
  </si>
  <si>
    <t>Focus on these</t>
  </si>
  <si>
    <t>Owned in progress</t>
  </si>
  <si>
    <t>Closed/funded</t>
  </si>
  <si>
    <t>Updated raise need</t>
  </si>
  <si>
    <t>Profits</t>
  </si>
  <si>
    <t>Sell price</t>
  </si>
  <si>
    <t>Total costs</t>
  </si>
  <si>
    <t>Palisades</t>
  </si>
  <si>
    <t>Chatanooga</t>
  </si>
  <si>
    <t>2 Customs w/ADU's</t>
  </si>
  <si>
    <t>Www.260castro.com </t>
  </si>
  <si>
    <t>SF Castro District</t>
  </si>
  <si>
    <t>542 Westgate Dr Napa</t>
  </si>
  <si>
    <t>Malibu</t>
  </si>
  <si>
    <t>Clifftop Malibu</t>
  </si>
  <si>
    <t>Aderno Palisades</t>
  </si>
  <si>
    <t>Chautauqua Palisades</t>
  </si>
  <si>
    <t>Marinette Palisades</t>
  </si>
  <si>
    <t>McKendree Palisades</t>
  </si>
  <si>
    <t>Tahoe</t>
  </si>
  <si>
    <t>Land owned</t>
  </si>
  <si>
    <t>Not Available</t>
  </si>
  <si>
    <t>N Las Casas</t>
  </si>
  <si>
    <t>Kenwood, CA</t>
  </si>
  <si>
    <t>1140 Lawndale</t>
  </si>
  <si>
    <t>No longer available</t>
  </si>
  <si>
    <t>Granite Bay 239</t>
  </si>
  <si>
    <t>Granite Bay CA</t>
  </si>
  <si>
    <t>Link to 2 items</t>
  </si>
  <si>
    <t>16M</t>
  </si>
  <si>
    <t>239 acres 39 Lots</t>
  </si>
  <si>
    <t>Granite Bay 85</t>
  </si>
  <si>
    <t>85 acres 10 Lots</t>
  </si>
  <si>
    <t>14 acres 7 Lots</t>
  </si>
  <si>
    <t>https://www.zillow.com/homedetails/2840-Delmar-Ave-Loomis-CA-95650/402295133_zpid/?utm_campaign=zillowwebmessage&amp;utm_medium=referral&amp;utm_source=txtshare</t>
  </si>
  <si>
    <t>Twin Rocks Estate Winery | Wine Tasting &amp; Events in Granite Bay</t>
  </si>
  <si>
    <t>Eaglepass</t>
  </si>
  <si>
    <t>Enchanted Way Palisades</t>
  </si>
  <si>
    <t>Capistrano Beach, CA</t>
  </si>
  <si>
    <t>San Clemente</t>
  </si>
  <si>
    <t xml:space="preserve">Calvine Rd </t>
  </si>
  <si>
    <t>Self Storage 12.9 acres</t>
  </si>
  <si>
    <t>Calvine Rd self storage</t>
  </si>
  <si>
    <t xml:space="preserve">Tracy, CA </t>
  </si>
  <si>
    <t>Self-Storage</t>
  </si>
  <si>
    <t>Self Storage 5.75 acres</t>
  </si>
  <si>
    <t>Tracy CA self storage</t>
  </si>
  <si>
    <t>540 Westgate Dr Napa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</si>
</sst>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/d/yy;@"/>
    <numFmt numFmtId="165" formatCode="_([$$-409]* #,##0_);_([$$-409]* \(#,##0\);_([$$-409]* &quot;-&quot;??_);_(@_)"/>
    <numFmt numFmtId="166" formatCode="0.0%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Light"/>
      <family val="2"/>
    </font>
    <font>
      <b/>
      <sz val="12"/>
      <name val="Aptos Light"/>
      <family val="2"/>
    </font>
    <font>
      <sz val="12"/>
      <color theme="1" tint="0.499984740745262"/>
      <name val="Aptos Light"/>
      <family val="2"/>
    </font>
    <font>
      <sz val="12"/>
      <name val="Aptos Light"/>
      <family val="2"/>
    </font>
    <font>
      <sz val="12"/>
      <color rgb="FFFF0000"/>
      <name val="Aptos Light"/>
      <family val="2"/>
    </font>
    <font>
      <u/>
      <sz val="12"/>
      <color theme="3" tint="0.249977111117893"/>
      <name val="Aptos Light"/>
      <family val="2"/>
    </font>
    <font>
      <sz val="12"/>
      <color theme="4" tint="0.59999389629810485"/>
      <name val="Aptos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u/>
      <sz val="12"/>
      <name val="Aptos Light"/>
      <family val="2"/>
    </font>
    <font>
      <i/>
      <sz val="12"/>
      <name val="Aptos Light"/>
      <family val="2"/>
    </font>
    <font>
      <sz val="12"/>
      <color theme="1" tint="0.499984740745262"/>
      <name val="Aptos Light"/>
      <family val="2"/>
    </font>
    <font>
      <sz val="12"/>
      <name val="Aptos Light"/>
      <family val="2"/>
    </font>
    <font>
      <sz val="12"/>
      <color rgb="FFFF0000"/>
      <name val="Aptos Light"/>
      <family val="2"/>
    </font>
    <font>
      <b/>
      <sz val="12"/>
      <name val="Aptos Light"/>
      <family val="2"/>
    </font>
    <font>
      <u/>
      <sz val="12"/>
      <color theme="3" tint="0.249977111117893"/>
      <name val="Aptos Narrow"/>
      <family val="2"/>
      <scheme val="minor"/>
    </font>
    <font>
      <b/>
      <sz val="12"/>
      <color theme="1"/>
      <name val="Aptos Light"/>
      <family val="2"/>
    </font>
    <font>
      <sz val="12"/>
      <name val="Aptos Light"/>
      <family val="2"/>
    </font>
    <font>
      <sz val="8"/>
      <name val="Aptos Narrow"/>
      <family val="2"/>
      <scheme val="minor"/>
    </font>
    <font>
      <sz val="12"/>
      <name val="Aptos Light"/>
    </font>
    <font>
      <sz val="12"/>
      <color rgb="FFFF0000"/>
      <name val="Aptos Light"/>
    </font>
    <font>
      <b/>
      <sz val="12"/>
      <name val="Aptos Light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4" xfId="3" applyFont="1" applyFill="1" applyBorder="1" applyAlignment="1">
      <alignment vertical="center"/>
    </xf>
    <xf numFmtId="165" fontId="6" fillId="0" borderId="4" xfId="1" applyNumberFormat="1" applyFont="1" applyBorder="1" applyAlignment="1">
      <alignment horizontal="center" vertical="center"/>
    </xf>
    <xf numFmtId="166" fontId="6" fillId="0" borderId="4" xfId="2" applyNumberFormat="1" applyFont="1" applyBorder="1" applyAlignment="1">
      <alignment horizontal="center" vertical="center"/>
    </xf>
    <xf numFmtId="4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8" fillId="0" borderId="4" xfId="3" applyFont="1" applyBorder="1" applyAlignment="1">
      <alignment vertical="center"/>
    </xf>
    <xf numFmtId="0" fontId="5" fillId="4" borderId="0" xfId="0" applyFont="1" applyFill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4" borderId="4" xfId="3" applyFont="1" applyFill="1" applyBorder="1" applyAlignment="1">
      <alignment vertical="center"/>
    </xf>
    <xf numFmtId="165" fontId="6" fillId="4" borderId="4" xfId="1" applyNumberFormat="1" applyFont="1" applyFill="1" applyBorder="1" applyAlignment="1">
      <alignment horizontal="center" vertical="center"/>
    </xf>
    <xf numFmtId="166" fontId="6" fillId="4" borderId="4" xfId="2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164" fontId="6" fillId="6" borderId="4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64" fontId="6" fillId="7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4" xfId="3" applyFont="1" applyFill="1" applyBorder="1" applyAlignment="1">
      <alignment vertical="center"/>
    </xf>
    <xf numFmtId="165" fontId="6" fillId="7" borderId="4" xfId="1" applyNumberFormat="1" applyFont="1" applyFill="1" applyBorder="1" applyAlignment="1">
      <alignment horizontal="center" vertical="center"/>
    </xf>
    <xf numFmtId="166" fontId="6" fillId="7" borderId="4" xfId="2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165" fontId="15" fillId="7" borderId="4" xfId="1" applyNumberFormat="1" applyFont="1" applyFill="1" applyBorder="1" applyAlignment="1">
      <alignment horizontal="center" vertical="center"/>
    </xf>
    <xf numFmtId="166" fontId="15" fillId="7" borderId="4" xfId="2" applyNumberFormat="1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165" fontId="15" fillId="4" borderId="4" xfId="1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164" fontId="6" fillId="7" borderId="6" xfId="0" applyNumberFormat="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165" fontId="6" fillId="7" borderId="6" xfId="1" applyNumberFormat="1" applyFont="1" applyFill="1" applyBorder="1" applyAlignment="1">
      <alignment horizontal="center" vertical="center"/>
    </xf>
    <xf numFmtId="166" fontId="6" fillId="7" borderId="6" xfId="2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5" fontId="6" fillId="0" borderId="6" xfId="1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8" xfId="3" applyFont="1" applyBorder="1" applyAlignment="1">
      <alignment vertical="center"/>
    </xf>
    <xf numFmtId="165" fontId="6" fillId="0" borderId="8" xfId="1" applyNumberFormat="1" applyFont="1" applyBorder="1" applyAlignment="1">
      <alignment horizontal="center" vertical="center"/>
    </xf>
    <xf numFmtId="166" fontId="6" fillId="0" borderId="8" xfId="2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vertical="center"/>
    </xf>
    <xf numFmtId="0" fontId="8" fillId="7" borderId="4" xfId="3" applyFont="1" applyFill="1" applyBorder="1"/>
    <xf numFmtId="0" fontId="4" fillId="7" borderId="4" xfId="0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164" fontId="4" fillId="4" borderId="9" xfId="0" applyNumberFormat="1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3" fillId="5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165" fontId="6" fillId="7" borderId="8" xfId="1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8" borderId="12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16" fillId="7" borderId="8" xfId="0" applyFont="1" applyFill="1" applyBorder="1" applyAlignment="1">
      <alignment horizontal="center" vertical="center"/>
    </xf>
    <xf numFmtId="165" fontId="15" fillId="7" borderId="8" xfId="1" applyNumberFormat="1" applyFont="1" applyFill="1" applyBorder="1" applyAlignment="1">
      <alignment horizontal="center" vertical="center"/>
    </xf>
    <xf numFmtId="166" fontId="15" fillId="7" borderId="8" xfId="2" applyNumberFormat="1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165" fontId="15" fillId="4" borderId="8" xfId="1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20" fillId="7" borderId="13" xfId="0" applyFont="1" applyFill="1" applyBorder="1" applyAlignment="1">
      <alignment horizontal="center" vertical="center"/>
    </xf>
    <xf numFmtId="0" fontId="2" fillId="7" borderId="4" xfId="3" applyFill="1" applyBorder="1"/>
    <xf numFmtId="0" fontId="2" fillId="7" borderId="0" xfId="3" applyFill="1"/>
    <xf numFmtId="0" fontId="2" fillId="7" borderId="4" xfId="3" applyFill="1" applyBorder="1" applyAlignment="1">
      <alignment vertical="center"/>
    </xf>
    <xf numFmtId="0" fontId="2" fillId="7" borderId="8" xfId="3" applyFill="1" applyBorder="1"/>
    <xf numFmtId="0" fontId="6" fillId="4" borderId="5" xfId="0" applyFont="1" applyFill="1" applyBorder="1" applyAlignment="1">
      <alignment horizontal="center" vertical="center"/>
    </xf>
    <xf numFmtId="164" fontId="6" fillId="4" borderId="6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3" applyFont="1" applyFill="1"/>
    <xf numFmtId="44" fontId="6" fillId="0" borderId="4" xfId="1" applyFont="1" applyFill="1" applyBorder="1" applyAlignment="1">
      <alignment vertical="center"/>
    </xf>
    <xf numFmtId="166" fontId="6" fillId="0" borderId="4" xfId="2" applyNumberFormat="1" applyFont="1" applyFill="1" applyBorder="1" applyAlignment="1">
      <alignment horizontal="center" vertical="center"/>
    </xf>
    <xf numFmtId="165" fontId="6" fillId="0" borderId="4" xfId="1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5" fontId="6" fillId="4" borderId="6" xfId="1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166" fontId="6" fillId="7" borderId="8" xfId="2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65" fontId="6" fillId="4" borderId="8" xfId="1" applyNumberFormat="1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2" fillId="4" borderId="4" xfId="3" applyFill="1" applyBorder="1"/>
    <xf numFmtId="166" fontId="15" fillId="4" borderId="8" xfId="2" applyNumberFormat="1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14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8" fillId="4" borderId="0" xfId="3" applyFont="1" applyFill="1"/>
    <xf numFmtId="166" fontId="6" fillId="4" borderId="6" xfId="2" applyNumberFormat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164" fontId="20" fillId="6" borderId="4" xfId="0" applyNumberFormat="1" applyFont="1" applyFill="1" applyBorder="1" applyAlignment="1">
      <alignment horizontal="center" vertical="center"/>
    </xf>
    <xf numFmtId="0" fontId="2" fillId="0" borderId="0" xfId="3"/>
    <xf numFmtId="0" fontId="2" fillId="4" borderId="4" xfId="3" applyFill="1" applyBorder="1" applyAlignment="1">
      <alignment vertical="center"/>
    </xf>
    <xf numFmtId="164" fontId="22" fillId="7" borderId="4" xfId="0" applyNumberFormat="1" applyFont="1" applyFill="1" applyBorder="1" applyAlignment="1">
      <alignment horizontal="center" vertical="center"/>
    </xf>
    <xf numFmtId="164" fontId="22" fillId="6" borderId="4" xfId="0" applyNumberFormat="1" applyFont="1" applyFill="1" applyBorder="1" applyAlignment="1">
      <alignment horizontal="center" vertical="center"/>
    </xf>
    <xf numFmtId="164" fontId="22" fillId="4" borderId="4" xfId="0" applyNumberFormat="1" applyFont="1" applyFill="1" applyBorder="1" applyAlignment="1">
      <alignment horizontal="center" vertical="center"/>
    </xf>
    <xf numFmtId="164" fontId="6" fillId="6" borderId="6" xfId="0" applyNumberFormat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166" fontId="6" fillId="4" borderId="8" xfId="2" applyNumberFormat="1" applyFont="1" applyFill="1" applyBorder="1" applyAlignment="1">
      <alignment horizontal="center" vertical="center"/>
    </xf>
    <xf numFmtId="164" fontId="22" fillId="7" borderId="8" xfId="0" applyNumberFormat="1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center" vertical="center"/>
    </xf>
    <xf numFmtId="0" fontId="23" fillId="7" borderId="8" xfId="0" applyFont="1" applyFill="1" applyBorder="1" applyAlignment="1">
      <alignment horizontal="center" vertical="center"/>
    </xf>
    <xf numFmtId="0" fontId="22" fillId="7" borderId="14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165" fontId="22" fillId="7" borderId="8" xfId="1" applyNumberFormat="1" applyFont="1" applyFill="1" applyBorder="1" applyAlignment="1">
      <alignment horizontal="center" vertical="center"/>
    </xf>
    <xf numFmtId="166" fontId="22" fillId="7" borderId="8" xfId="2" applyNumberFormat="1" applyFont="1" applyFill="1" applyBorder="1" applyAlignment="1">
      <alignment horizontal="center" vertical="center"/>
    </xf>
    <xf numFmtId="165" fontId="22" fillId="7" borderId="6" xfId="1" applyNumberFormat="1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165" fontId="22" fillId="4" borderId="8" xfId="1" applyNumberFormat="1" applyFont="1" applyFill="1" applyBorder="1" applyAlignment="1">
      <alignment horizontal="center"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1drv.ms/f/c/c79dbf3bb2ac5882/EoXluW7GY4lInFTvUvZfqeYBcXrpXUROWRY-86GBiF4Vhw?e=RFpwTJ" TargetMode="External"/><Relationship Id="rId18" Type="http://schemas.openxmlformats.org/officeDocument/2006/relationships/hyperlink" Target="https://1drv.ms/f/c/c79dbf3bb2ac5882/EojJhjZ7OZlBjI9ccCUaQN0BQtc8nehd7aTaW2xLnSiaZA?e=y5Vvln" TargetMode="External"/><Relationship Id="rId26" Type="http://schemas.openxmlformats.org/officeDocument/2006/relationships/hyperlink" Target="https://1drv.ms/f/c/70de1dfd84c7512d/EjidkDUN4f5Dh3LK7GY4onMBeEPZAzhGFeXmbizTFJdEhg?e=HpzD3E" TargetMode="External"/><Relationship Id="rId39" Type="http://schemas.openxmlformats.org/officeDocument/2006/relationships/hyperlink" Target="https://1drv.ms/f/c/c79dbf3bb2ac5882/EtrBQRjap4tHusPRCtTR3O4By5AeAcIgPlGH0t7hnWiXOQ?e=fHSsuQ" TargetMode="External"/><Relationship Id="rId21" Type="http://schemas.openxmlformats.org/officeDocument/2006/relationships/hyperlink" Target="https://1drv.ms/f/c/c79dbf3bb2ac5882/ErOOBcWFczJOomQl4eLsjggBO2_eH83BhgedCU0kqjDWKw?e=p3f6Ff" TargetMode="External"/><Relationship Id="rId34" Type="http://schemas.openxmlformats.org/officeDocument/2006/relationships/hyperlink" Target="https://1drv.ms/f/c/c79dbf3bb2ac5882/EjMXcIlCxRFHg48J4KuirlIBCeEQaQQm6R6C_vdr75hDdg?e=c0p9TQ" TargetMode="External"/><Relationship Id="rId42" Type="http://schemas.openxmlformats.org/officeDocument/2006/relationships/hyperlink" Target="https://1drv.ms/f/c/c79dbf3bb2ac5882/IgArO2d9riqsRaxumMCWJ3kgAcveLXoYjMJsdBreVtCg3ww?e=ZkNIXc" TargetMode="External"/><Relationship Id="rId7" Type="http://schemas.openxmlformats.org/officeDocument/2006/relationships/hyperlink" Target="https://1drv.ms/f/c/c79dbf3bb2ac5882/Eje04KcY1zROtS0awHGFtXkB-hjCfvRBE-RofMqMLFyGAg?e=Pij0rx" TargetMode="External"/><Relationship Id="rId2" Type="http://schemas.openxmlformats.org/officeDocument/2006/relationships/hyperlink" Target="https://1drv.ms/f/c/70de1dfd84c7512d/Eke8UeJyrKtOjYRI3_oljGAB40A3kOvKpwv-rz3pP7Zvlg?e=SK71ge" TargetMode="External"/><Relationship Id="rId16" Type="http://schemas.openxmlformats.org/officeDocument/2006/relationships/hyperlink" Target="https://1drv.ms/f/c/c79dbf3bb2ac5882/EgPO580eivZCqcuAcsMZKs8BVf_G0cZDlKFLxO754IxkOA?e=GrjlXV" TargetMode="External"/><Relationship Id="rId29" Type="http://schemas.openxmlformats.org/officeDocument/2006/relationships/hyperlink" Target="https://1drv.ms/f/c/c79dbf3bb2ac5882/Eti4rBLVqIpMpsS2l2unNRYBsweshpZ5QmVS4Sp7htiWYA?e=xAo1lD" TargetMode="External"/><Relationship Id="rId1" Type="http://schemas.openxmlformats.org/officeDocument/2006/relationships/hyperlink" Target="https://1drv.ms/f/c/70de1dfd84c7512d/EsHOW1xe4NVFvcaIq_3HbFIBMYvDcu3e9rJSpK2tcQTm9w?e=sIdqDr" TargetMode="External"/><Relationship Id="rId6" Type="http://schemas.openxmlformats.org/officeDocument/2006/relationships/hyperlink" Target="https://1drv.ms/f/c/70de1dfd84c7512d/Ejuc_Y6-O9lKlJKFS5oSCcIBg3VEjkZOIDwiYCdV8wdevQ?e=h1KSyD" TargetMode="External"/><Relationship Id="rId11" Type="http://schemas.openxmlformats.org/officeDocument/2006/relationships/hyperlink" Target="https://1drv.ms/f/c/c79dbf3bb2ac5882/EodNif-ERvBApqmhpvhEdWkBvUq1wEbTB-Wzq1Fp8m10jA?e=dcjnlz" TargetMode="External"/><Relationship Id="rId24" Type="http://schemas.openxmlformats.org/officeDocument/2006/relationships/hyperlink" Target="https://1drv.ms/f/c/c79dbf3bb2ac5882/EnhzYMBu_tZOlSUzWrNc0swB_NxFvm8MBWx9hwkKMBY1bA?e=eeyKKF" TargetMode="External"/><Relationship Id="rId32" Type="http://schemas.openxmlformats.org/officeDocument/2006/relationships/hyperlink" Target="https://1drv.ms/f/c/c79dbf3bb2ac5882/ElfDtpAgYxlDklWQ4XvlhLQBm4CyxTU55UQGh9MMCk6gnA?e=Ncm31I" TargetMode="External"/><Relationship Id="rId37" Type="http://schemas.openxmlformats.org/officeDocument/2006/relationships/hyperlink" Target="https://1drv.ms/f/c/c79dbf3bb2ac5882/Ej23t4bDbRdCnIWTHK-vNIEBo8Zb5nyI_7UjXCC6B71sWw?e=RfUzni" TargetMode="External"/><Relationship Id="rId40" Type="http://schemas.openxmlformats.org/officeDocument/2006/relationships/hyperlink" Target="https://1drv.ms/f/c/c79dbf3bb2ac5882/IgBS9bPs5dQDSaWCIVvvPQGCAcAUaUyHu9dTB2vHThdaC9s?e=haq5Jk" TargetMode="External"/><Relationship Id="rId45" Type="http://schemas.openxmlformats.org/officeDocument/2006/relationships/comments" Target="../comments1.xml"/><Relationship Id="rId5" Type="http://schemas.openxmlformats.org/officeDocument/2006/relationships/hyperlink" Target="https://1drv.ms/b/c/c79dbf3bb2ac5882/EYxEwkpzwhtLsoCcLnzG6TABdNHcNteBB9pxYK8XX5vhCg?e=4OTJdZ" TargetMode="External"/><Relationship Id="rId15" Type="http://schemas.openxmlformats.org/officeDocument/2006/relationships/hyperlink" Target="https://1drv.ms/f/c/c79dbf3bb2ac5882/EjOk9LCtQNxJsEls15w6Wg4B47v8IhMV3Zb9iwaFEHOJ0Q?e=pezYLc" TargetMode="External"/><Relationship Id="rId23" Type="http://schemas.openxmlformats.org/officeDocument/2006/relationships/hyperlink" Target="https://urldefense.proofpoint.com/v2/url?u=http-3A__Www.260castro.com&amp;d=DwMGaQ&amp;c=euGZstcaTDllvimEN8b7jXrwqOf-v5A_CdpgnVfiiMM&amp;r=g33Hpe1bw0wElOmz8Nl4U2FAzrADzOJn36RX45TfucTGpn0TRygdypgXRcxseqIB&amp;m=h-20Gw89BkG1X0J_6d55bmu48zhh5W1p8k6YsVhVUYm8ZO2O3btWEXHWCz7T8Pg8&amp;s=rQWVwkjGca4kvZrgatfSQ1ijvibM04Ox_rKOfpqb9bM&amp;e=" TargetMode="External"/><Relationship Id="rId28" Type="http://schemas.openxmlformats.org/officeDocument/2006/relationships/hyperlink" Target="https://1drv.ms/f/c/c79dbf3bb2ac5882/EqWAwzHOQvpCvCIV0eW5OfABlS3cIlaIkeVJYwqORjJrsw?e=FY9EEW" TargetMode="External"/><Relationship Id="rId36" Type="http://schemas.openxmlformats.org/officeDocument/2006/relationships/hyperlink" Target="https://www.zillow.com/homedetails/2840-Delmar-Ave-Loomis-CA-95650/402295133_zpid/?utm_campaign=zillowwebmessage&amp;utm_medium=referral&amp;utm_source=txtshare" TargetMode="External"/><Relationship Id="rId10" Type="http://schemas.openxmlformats.org/officeDocument/2006/relationships/hyperlink" Target="https://1drv.ms/f/c/c79dbf3bb2ac5882/EiY5GmA-6KdPmN0xCkphAeMBvb5VhmlxJjCEBCkVKjWBKg?e=du32G3" TargetMode="External"/><Relationship Id="rId19" Type="http://schemas.openxmlformats.org/officeDocument/2006/relationships/hyperlink" Target="https://1drv.ms/f/c/c79dbf3bb2ac5882/Eg1EfOhs6xNFs1Px6QKdg0UBu8f0FyUMm93mcwDDRaOwhQ?e=MMkxPV" TargetMode="External"/><Relationship Id="rId31" Type="http://schemas.openxmlformats.org/officeDocument/2006/relationships/hyperlink" Target="https://1drv.ms/f/c/c79dbf3bb2ac5882/EuYgLtrJ2CFBrYn0yHy3p44BCVl1Sy99OZCe3f2beVfk9w?e=zOn1bM" TargetMode="External"/><Relationship Id="rId44" Type="http://schemas.openxmlformats.org/officeDocument/2006/relationships/vmlDrawing" Target="../drawings/vmlDrawing1.vml"/><Relationship Id="rId4" Type="http://schemas.openxmlformats.org/officeDocument/2006/relationships/hyperlink" Target="https://1drv.ms/f/c/c79dbf3bb2ac5882/Ev32ifszMepBtXQe64DDYD8B6d0wO0ItU1vzor15MUoqkw?e=01zr7b" TargetMode="External"/><Relationship Id="rId9" Type="http://schemas.openxmlformats.org/officeDocument/2006/relationships/hyperlink" Target="https://1drv.ms/f/c/c79dbf3bb2ac5882/EkifKT92byBAreKM1ROnzLoBrrV-SpmiiisFtk1Hgyu_Tg?e=yt7iQn" TargetMode="External"/><Relationship Id="rId14" Type="http://schemas.openxmlformats.org/officeDocument/2006/relationships/hyperlink" Target="https://1drv.ms/f/c/c79dbf3bb2ac5882/Egrx5tE8ixZBpacg22J2MJIBPiqFwmnjaJGApFJZkjW1bA?e=wLw2pk" TargetMode="External"/><Relationship Id="rId22" Type="http://schemas.openxmlformats.org/officeDocument/2006/relationships/hyperlink" Target="https://aubergeresorts.com/stanlyranch/stay/vineyard-homes/" TargetMode="External"/><Relationship Id="rId27" Type="http://schemas.openxmlformats.org/officeDocument/2006/relationships/hyperlink" Target="https://1drv.ms/f/c/c79dbf3bb2ac5882/EnWyrCLfwMlNnYAZ9mL5cQ4BEtaI2iFTknnQNTEPUMDWAQ?e=3L7Hzd" TargetMode="External"/><Relationship Id="rId30" Type="http://schemas.openxmlformats.org/officeDocument/2006/relationships/hyperlink" Target="https://1drv.ms/f/c/c79dbf3bb2ac5882/EvtdcoP2hjhEsr6NwW2BLVoBD9AI7_v3nm6pjlqfHCEzZg?e=G3AKqa" TargetMode="External"/><Relationship Id="rId35" Type="http://schemas.openxmlformats.org/officeDocument/2006/relationships/hyperlink" Target="https://trwinery.com/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1drv.ms/f/c/c79dbf3bb2ac5882/Em70XxJ64jNEj3XOrNoqJpIBD-RDjOMFHnMv70wNYCbDKg?e=Ez2cg8" TargetMode="External"/><Relationship Id="rId3" Type="http://schemas.openxmlformats.org/officeDocument/2006/relationships/hyperlink" Target="https://1drv.ms/f/c/70de1dfd84c7512d/Eq5J3lVg-FxNo-75kAdpuRIBlTnfd7IuDCUQWmt3_crocQ?e=RKb05N" TargetMode="External"/><Relationship Id="rId12" Type="http://schemas.openxmlformats.org/officeDocument/2006/relationships/hyperlink" Target="https://1drv.ms/f/c/c79dbf3bb2ac5882/EtYo90IC51JKqNRWWyOFU6gBv-xix3nax-5HqHf_czhigA?e=7pW6tQ" TargetMode="External"/><Relationship Id="rId17" Type="http://schemas.openxmlformats.org/officeDocument/2006/relationships/hyperlink" Target="https://1drv.ms/f/c/c79dbf3bb2ac5882/EmnYvYFyEwpFmZr9vp-FNvEB-dwXw_gF4PuiJ6DVC1DPyA?e=7Yxd7L" TargetMode="External"/><Relationship Id="rId25" Type="http://schemas.openxmlformats.org/officeDocument/2006/relationships/hyperlink" Target="https://1drv.ms/f/c/c79dbf3bb2ac5882/EtPyQ8ONeadNs9DvnjuJdAEBV8GZpU5fovIzHoKFg3bsmQ?e=lMgPe3" TargetMode="External"/><Relationship Id="rId33" Type="http://schemas.openxmlformats.org/officeDocument/2006/relationships/hyperlink" Target="https://1drv.ms/f/c/c79dbf3bb2ac5882/Ev32ifszMepBtXQe64DDYD8B6d0wO0ItU1vzor15MUoqkw?e=01zr7b" TargetMode="External"/><Relationship Id="rId38" Type="http://schemas.openxmlformats.org/officeDocument/2006/relationships/hyperlink" Target="https://1drv.ms/f/c/c79dbf3bb2ac5882/EmWA671Y7oVCuB1KLfGPs2UBbd6MNRrbh8cqMbobsCYbGw?e=1XCxJS" TargetMode="External"/><Relationship Id="rId20" Type="http://schemas.openxmlformats.org/officeDocument/2006/relationships/hyperlink" Target="https://1drv.ms/b/c/c79dbf3bb2ac5882/ER5PWtIRlsZIuK1CQ0YNnpMBeIiEs6vW_BobAo3gLejf9g?e=r65Dmw" TargetMode="External"/><Relationship Id="rId41" Type="http://schemas.openxmlformats.org/officeDocument/2006/relationships/hyperlink" Target="https://1drv.ms/f/c/c79dbf3bb2ac5882/IgBg4fdg3oBsTbLjTok49zXaAWqkpsPWym2qAQa7gJNtPNY?e=2BRv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50F4-7392-4D68-8527-0A71B46CAFFA}">
  <sheetPr>
    <pageSetUpPr fitToPage="1"/>
  </sheetPr>
  <dimension ref="A1:Q231"/>
  <sheetViews>
    <sheetView tabSelected="1" topLeftCell="A38" workbookViewId="0">
      <selection activeCell="F45" sqref="F45"/>
    </sheetView>
  </sheetViews>
  <sheetFormatPr defaultColWidth="9" defaultRowHeight="16" x14ac:dyDescent="0.35"/>
  <cols>
    <col min="1" max="1" width="22.453125" style="5" bestFit="1" customWidth="1"/>
    <col min="2" max="2" width="20.6328125" style="15" bestFit="1" customWidth="1"/>
    <col min="3" max="3" width="23.54296875" style="5" hidden="1" customWidth="1"/>
    <col min="4" max="4" width="22.81640625" style="5" bestFit="1" customWidth="1"/>
    <col min="5" max="5" width="29" style="5" bestFit="1" customWidth="1"/>
    <col min="6" max="6" width="44.81640625" style="5" bestFit="1" customWidth="1"/>
    <col min="7" max="7" width="27.453125" style="5" customWidth="1"/>
    <col min="8" max="8" width="23.81640625" style="5" customWidth="1"/>
    <col min="9" max="9" width="21.453125" style="5" customWidth="1"/>
    <col min="10" max="10" width="12.1796875" style="5" bestFit="1" customWidth="1"/>
    <col min="11" max="11" width="23.1796875" style="5" customWidth="1"/>
    <col min="12" max="12" width="21.54296875" style="5" customWidth="1"/>
    <col min="13" max="13" width="12" style="5" hidden="1" customWidth="1"/>
    <col min="14" max="14" width="18.1796875" style="5" hidden="1" customWidth="1"/>
    <col min="15" max="15" width="16" style="5" hidden="1" customWidth="1"/>
    <col min="16" max="16" width="17.81640625" style="5" hidden="1" customWidth="1"/>
    <col min="17" max="17" width="2" style="5" hidden="1" customWidth="1"/>
    <col min="18" max="16384" width="9" style="5"/>
  </cols>
  <sheetData>
    <row r="1" spans="1:17" ht="86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10</v>
      </c>
    </row>
    <row r="2" spans="1:17" x14ac:dyDescent="0.35">
      <c r="A2" s="6" t="s">
        <v>16</v>
      </c>
      <c r="B2" s="26" t="s">
        <v>17</v>
      </c>
      <c r="C2" s="7"/>
      <c r="D2" s="8" t="s">
        <v>18</v>
      </c>
      <c r="E2" s="8" t="s">
        <v>19</v>
      </c>
      <c r="F2" s="9" t="s">
        <v>20</v>
      </c>
      <c r="G2" s="10">
        <v>15866523</v>
      </c>
      <c r="H2" s="10">
        <v>21300000</v>
      </c>
      <c r="I2" s="10">
        <f t="shared" ref="I2:I18" si="0">H2-G2</f>
        <v>5433477</v>
      </c>
      <c r="J2" s="11">
        <f>I2/G2</f>
        <v>0.34244913015914075</v>
      </c>
      <c r="K2" s="10">
        <v>500000</v>
      </c>
      <c r="L2" s="10">
        <f>G2-K2</f>
        <v>15366523</v>
      </c>
      <c r="M2" s="12" t="s">
        <v>21</v>
      </c>
      <c r="N2" s="13" t="s">
        <v>22</v>
      </c>
      <c r="O2" s="13">
        <v>0</v>
      </c>
      <c r="P2" s="10">
        <v>2500000</v>
      </c>
      <c r="Q2" s="10">
        <f t="shared" ref="Q2:Q18" si="1">G2*0.25</f>
        <v>3966630.75</v>
      </c>
    </row>
    <row r="3" spans="1:17" x14ac:dyDescent="0.35">
      <c r="A3" s="6" t="s">
        <v>23</v>
      </c>
      <c r="B3" s="26" t="s">
        <v>24</v>
      </c>
      <c r="C3" s="7"/>
      <c r="D3" s="8" t="s">
        <v>25</v>
      </c>
      <c r="E3" s="8" t="s">
        <v>26</v>
      </c>
      <c r="F3" s="14" t="s">
        <v>27</v>
      </c>
      <c r="G3" s="10">
        <v>6850000</v>
      </c>
      <c r="H3" s="10">
        <v>12700000</v>
      </c>
      <c r="I3" s="10">
        <f t="shared" si="0"/>
        <v>5850000</v>
      </c>
      <c r="J3" s="11">
        <f t="shared" ref="J3:J41" si="2">I3/G3</f>
        <v>0.85401459854014594</v>
      </c>
      <c r="K3" s="10">
        <f t="shared" ref="K3" si="3">IF(P3&gt;Q3,P3,Q3)</f>
        <v>3500000</v>
      </c>
      <c r="L3" s="10">
        <f t="shared" ref="L3:L17" si="4">G3-K3</f>
        <v>3350000</v>
      </c>
      <c r="M3" s="13" t="s">
        <v>28</v>
      </c>
      <c r="N3" s="13" t="s">
        <v>29</v>
      </c>
      <c r="O3" s="13">
        <v>0</v>
      </c>
      <c r="P3" s="10">
        <v>3500000</v>
      </c>
      <c r="Q3" s="10">
        <f t="shared" si="1"/>
        <v>1712500</v>
      </c>
    </row>
    <row r="4" spans="1:17" x14ac:dyDescent="0.35">
      <c r="A4" s="27" t="s">
        <v>30</v>
      </c>
      <c r="B4" s="26" t="s">
        <v>17</v>
      </c>
      <c r="C4" s="29"/>
      <c r="D4" s="30" t="s">
        <v>31</v>
      </c>
      <c r="E4" s="30" t="s">
        <v>32</v>
      </c>
      <c r="F4" s="31" t="s">
        <v>30</v>
      </c>
      <c r="G4" s="32">
        <v>9800000</v>
      </c>
      <c r="H4" s="32">
        <v>14900000</v>
      </c>
      <c r="I4" s="32">
        <f t="shared" si="0"/>
        <v>5100000</v>
      </c>
      <c r="J4" s="33">
        <f t="shared" si="2"/>
        <v>0.52040816326530615</v>
      </c>
      <c r="K4" s="32">
        <v>650000</v>
      </c>
      <c r="L4" s="32">
        <f t="shared" si="4"/>
        <v>9150000</v>
      </c>
      <c r="M4" s="13" t="s">
        <v>33</v>
      </c>
      <c r="N4" s="13" t="s">
        <v>22</v>
      </c>
      <c r="O4" s="13" t="s">
        <v>34</v>
      </c>
      <c r="P4" s="10">
        <v>1500000</v>
      </c>
      <c r="Q4" s="10">
        <f t="shared" si="1"/>
        <v>2450000</v>
      </c>
    </row>
    <row r="5" spans="1:17" x14ac:dyDescent="0.35">
      <c r="A5" s="6" t="s">
        <v>35</v>
      </c>
      <c r="B5" s="26" t="s">
        <v>17</v>
      </c>
      <c r="C5" s="7"/>
      <c r="D5" s="8" t="s">
        <v>36</v>
      </c>
      <c r="E5" s="8" t="s">
        <v>37</v>
      </c>
      <c r="F5" s="14" t="s">
        <v>38</v>
      </c>
      <c r="G5" s="10">
        <v>5600000</v>
      </c>
      <c r="H5" s="10">
        <v>8800000</v>
      </c>
      <c r="I5" s="10">
        <v>3200000</v>
      </c>
      <c r="J5" s="11">
        <f t="shared" si="2"/>
        <v>0.5714285714285714</v>
      </c>
      <c r="K5" s="10">
        <v>0</v>
      </c>
      <c r="L5" s="10">
        <v>4600000</v>
      </c>
      <c r="M5" s="13"/>
      <c r="N5" s="13"/>
      <c r="O5" s="13"/>
      <c r="P5" s="10"/>
      <c r="Q5" s="10"/>
    </row>
    <row r="6" spans="1:17" x14ac:dyDescent="0.35">
      <c r="A6" s="6" t="s">
        <v>39</v>
      </c>
      <c r="B6" s="17" t="s">
        <v>40</v>
      </c>
      <c r="C6" s="7"/>
      <c r="D6" s="8" t="s">
        <v>41</v>
      </c>
      <c r="E6" s="8" t="s">
        <v>42</v>
      </c>
      <c r="F6" s="14" t="s">
        <v>39</v>
      </c>
      <c r="G6" s="10">
        <v>3116000</v>
      </c>
      <c r="H6" s="10">
        <v>4600000</v>
      </c>
      <c r="I6" s="10">
        <f t="shared" si="0"/>
        <v>1484000</v>
      </c>
      <c r="J6" s="11">
        <f t="shared" si="2"/>
        <v>0.47625160462130939</v>
      </c>
      <c r="K6" s="10">
        <f>IF(P6&gt;Q6,P6,Q6)</f>
        <v>779000</v>
      </c>
      <c r="L6" s="10">
        <f t="shared" si="4"/>
        <v>2337000</v>
      </c>
      <c r="M6" s="13">
        <v>0</v>
      </c>
      <c r="N6" s="13" t="s">
        <v>43</v>
      </c>
      <c r="O6" s="13" t="s">
        <v>44</v>
      </c>
      <c r="P6" s="10">
        <v>750000</v>
      </c>
      <c r="Q6" s="10">
        <f t="shared" si="1"/>
        <v>779000</v>
      </c>
    </row>
    <row r="7" spans="1:17" x14ac:dyDescent="0.35">
      <c r="A7" s="6" t="s">
        <v>45</v>
      </c>
      <c r="B7" s="26" t="s">
        <v>17</v>
      </c>
      <c r="C7" s="7"/>
      <c r="D7" s="8" t="s">
        <v>46</v>
      </c>
      <c r="E7" s="8" t="s">
        <v>47</v>
      </c>
      <c r="F7" s="14" t="s">
        <v>48</v>
      </c>
      <c r="G7" s="10">
        <v>4385000</v>
      </c>
      <c r="H7" s="10">
        <v>6600000</v>
      </c>
      <c r="I7" s="10">
        <f t="shared" si="0"/>
        <v>2215000</v>
      </c>
      <c r="J7" s="11">
        <f t="shared" si="2"/>
        <v>0.50513112884834666</v>
      </c>
      <c r="K7" s="10">
        <v>0</v>
      </c>
      <c r="L7" s="10">
        <f t="shared" si="4"/>
        <v>4385000</v>
      </c>
      <c r="M7" s="13" t="s">
        <v>49</v>
      </c>
      <c r="N7" s="13" t="s">
        <v>50</v>
      </c>
      <c r="O7" s="13" t="s">
        <v>51</v>
      </c>
      <c r="P7" s="10">
        <v>1000000</v>
      </c>
      <c r="Q7" s="10">
        <f t="shared" si="1"/>
        <v>1096250</v>
      </c>
    </row>
    <row r="8" spans="1:17" s="62" customFormat="1" x14ac:dyDescent="0.35">
      <c r="A8" s="27" t="s">
        <v>52</v>
      </c>
      <c r="B8" s="26" t="s">
        <v>17</v>
      </c>
      <c r="C8" s="29"/>
      <c r="D8" s="30" t="s">
        <v>53</v>
      </c>
      <c r="E8" s="30" t="s">
        <v>54</v>
      </c>
      <c r="F8" s="31" t="s">
        <v>52</v>
      </c>
      <c r="G8" s="32">
        <v>7900000</v>
      </c>
      <c r="H8" s="32">
        <v>11250000</v>
      </c>
      <c r="I8" s="32">
        <f t="shared" si="0"/>
        <v>3350000</v>
      </c>
      <c r="J8" s="33">
        <f t="shared" si="2"/>
        <v>0.42405063291139239</v>
      </c>
      <c r="K8" s="32">
        <v>0</v>
      </c>
      <c r="L8" s="32">
        <f t="shared" si="4"/>
        <v>7900000</v>
      </c>
      <c r="M8" s="61" t="s">
        <v>55</v>
      </c>
      <c r="N8" s="61" t="s">
        <v>50</v>
      </c>
      <c r="O8" s="61"/>
      <c r="P8" s="32">
        <v>1000000</v>
      </c>
      <c r="Q8" s="32">
        <f t="shared" si="1"/>
        <v>1975000</v>
      </c>
    </row>
    <row r="9" spans="1:17" x14ac:dyDescent="0.35">
      <c r="A9" s="6" t="s">
        <v>56</v>
      </c>
      <c r="B9" s="17" t="s">
        <v>40</v>
      </c>
      <c r="C9" s="7"/>
      <c r="D9" s="8" t="s">
        <v>57</v>
      </c>
      <c r="E9" s="8" t="s">
        <v>58</v>
      </c>
      <c r="F9" s="14" t="s">
        <v>59</v>
      </c>
      <c r="G9" s="10">
        <v>17825175</v>
      </c>
      <c r="H9" s="10">
        <v>25800000</v>
      </c>
      <c r="I9" s="10">
        <f t="shared" si="0"/>
        <v>7974825</v>
      </c>
      <c r="J9" s="11">
        <f t="shared" si="2"/>
        <v>0.44739111958227618</v>
      </c>
      <c r="K9" s="10">
        <v>5000000</v>
      </c>
      <c r="L9" s="10">
        <f t="shared" si="4"/>
        <v>12825175</v>
      </c>
      <c r="M9" s="13"/>
      <c r="N9" s="13"/>
      <c r="O9" s="13"/>
      <c r="P9" s="10">
        <v>5000000</v>
      </c>
      <c r="Q9" s="10">
        <f t="shared" si="1"/>
        <v>4456293.75</v>
      </c>
    </row>
    <row r="10" spans="1:17" s="62" customFormat="1" x14ac:dyDescent="0.35">
      <c r="A10" s="27" t="s">
        <v>60</v>
      </c>
      <c r="B10" s="28" t="s">
        <v>61</v>
      </c>
      <c r="C10" s="29"/>
      <c r="D10" s="30" t="s">
        <v>62</v>
      </c>
      <c r="E10" s="30" t="s">
        <v>63</v>
      </c>
      <c r="F10" s="31" t="s">
        <v>60</v>
      </c>
      <c r="G10" s="32">
        <v>11200000</v>
      </c>
      <c r="H10" s="32">
        <v>17800000</v>
      </c>
      <c r="I10" s="32">
        <f t="shared" si="0"/>
        <v>6600000</v>
      </c>
      <c r="J10" s="33">
        <f t="shared" si="2"/>
        <v>0.5892857142857143</v>
      </c>
      <c r="K10" s="32">
        <v>1500000</v>
      </c>
      <c r="L10" s="32">
        <f t="shared" si="4"/>
        <v>9700000</v>
      </c>
      <c r="M10" s="61"/>
      <c r="N10" s="61"/>
      <c r="O10" s="61"/>
      <c r="P10" s="32">
        <v>2000000</v>
      </c>
      <c r="Q10" s="32">
        <f t="shared" si="1"/>
        <v>2800000</v>
      </c>
    </row>
    <row r="11" spans="1:17" x14ac:dyDescent="0.35">
      <c r="A11" s="6" t="s">
        <v>64</v>
      </c>
      <c r="B11" s="123" t="s">
        <v>40</v>
      </c>
      <c r="C11" s="7"/>
      <c r="D11" s="8" t="s">
        <v>65</v>
      </c>
      <c r="E11" s="8" t="s">
        <v>66</v>
      </c>
      <c r="F11" s="14" t="s">
        <v>67</v>
      </c>
      <c r="G11" s="10">
        <v>3400000</v>
      </c>
      <c r="H11" s="10">
        <v>5200000</v>
      </c>
      <c r="I11" s="10">
        <f t="shared" si="0"/>
        <v>1800000</v>
      </c>
      <c r="J11" s="11">
        <f t="shared" si="2"/>
        <v>0.52941176470588236</v>
      </c>
      <c r="K11" s="10">
        <f>IF(P11&gt;Q11,P11,Q11)</f>
        <v>850000</v>
      </c>
      <c r="L11" s="10">
        <f t="shared" si="4"/>
        <v>2550000</v>
      </c>
      <c r="M11" s="13"/>
      <c r="N11" s="13"/>
      <c r="O11" s="13"/>
      <c r="P11" s="10">
        <v>650000</v>
      </c>
      <c r="Q11" s="10">
        <f t="shared" si="1"/>
        <v>850000</v>
      </c>
    </row>
    <row r="12" spans="1:17" s="62" customFormat="1" x14ac:dyDescent="0.35">
      <c r="A12" s="27" t="s">
        <v>68</v>
      </c>
      <c r="B12" s="28" t="s">
        <v>73</v>
      </c>
      <c r="C12" s="29"/>
      <c r="D12" s="30" t="s">
        <v>69</v>
      </c>
      <c r="E12" s="30" t="s">
        <v>70</v>
      </c>
      <c r="F12" s="31" t="s">
        <v>71</v>
      </c>
      <c r="G12" s="32">
        <v>3800000</v>
      </c>
      <c r="H12" s="32">
        <v>6900000</v>
      </c>
      <c r="I12" s="32">
        <f t="shared" si="0"/>
        <v>3100000</v>
      </c>
      <c r="J12" s="33">
        <f t="shared" si="2"/>
        <v>0.81578947368421051</v>
      </c>
      <c r="K12" s="32">
        <v>1000000</v>
      </c>
      <c r="L12" s="32">
        <f t="shared" si="4"/>
        <v>2800000</v>
      </c>
      <c r="M12" s="61"/>
      <c r="N12" s="61"/>
      <c r="O12" s="61"/>
      <c r="P12" s="32">
        <v>650000</v>
      </c>
      <c r="Q12" s="32">
        <f t="shared" si="1"/>
        <v>950000</v>
      </c>
    </row>
    <row r="13" spans="1:17" s="62" customFormat="1" x14ac:dyDescent="0.35">
      <c r="A13" s="27" t="s">
        <v>72</v>
      </c>
      <c r="B13" s="28" t="s">
        <v>73</v>
      </c>
      <c r="C13" s="29"/>
      <c r="D13" s="30" t="s">
        <v>41</v>
      </c>
      <c r="E13" s="30" t="s">
        <v>74</v>
      </c>
      <c r="F13" s="31" t="s">
        <v>75</v>
      </c>
      <c r="G13" s="32">
        <v>12182000</v>
      </c>
      <c r="H13" s="32">
        <v>17940000</v>
      </c>
      <c r="I13" s="32">
        <f t="shared" si="0"/>
        <v>5758000</v>
      </c>
      <c r="J13" s="33">
        <f t="shared" si="2"/>
        <v>0.47266458709571502</v>
      </c>
      <c r="K13" s="32">
        <v>2500000</v>
      </c>
      <c r="L13" s="32">
        <f t="shared" si="4"/>
        <v>9682000</v>
      </c>
      <c r="M13" s="61"/>
      <c r="N13" s="61"/>
      <c r="O13" s="61"/>
      <c r="P13" s="32">
        <v>2000000</v>
      </c>
      <c r="Q13" s="32">
        <f t="shared" si="1"/>
        <v>3045500</v>
      </c>
    </row>
    <row r="14" spans="1:17" x14ac:dyDescent="0.35">
      <c r="A14" s="90" t="s">
        <v>146</v>
      </c>
      <c r="B14" s="123" t="s">
        <v>40</v>
      </c>
      <c r="C14" s="92"/>
      <c r="D14" s="92" t="s">
        <v>147</v>
      </c>
      <c r="E14" s="92" t="s">
        <v>150</v>
      </c>
      <c r="F14" s="19" t="s">
        <v>148</v>
      </c>
      <c r="G14" s="10">
        <v>143000000</v>
      </c>
      <c r="H14" s="10">
        <v>194000000</v>
      </c>
      <c r="I14" s="10">
        <f t="shared" si="0"/>
        <v>51000000</v>
      </c>
      <c r="J14" s="11">
        <f t="shared" si="2"/>
        <v>0.35664335664335667</v>
      </c>
      <c r="K14" s="10">
        <v>16000000</v>
      </c>
      <c r="L14" s="10">
        <f t="shared" si="4"/>
        <v>127000000</v>
      </c>
      <c r="M14" s="48"/>
      <c r="N14" s="48" t="s">
        <v>149</v>
      </c>
      <c r="O14" s="48"/>
      <c r="P14" s="10">
        <v>6000000</v>
      </c>
      <c r="Q14" s="10">
        <f t="shared" si="1"/>
        <v>35750000</v>
      </c>
    </row>
    <row r="15" spans="1:17" x14ac:dyDescent="0.35">
      <c r="A15" s="90" t="s">
        <v>151</v>
      </c>
      <c r="B15" s="123" t="s">
        <v>40</v>
      </c>
      <c r="C15" s="92"/>
      <c r="D15" s="92" t="s">
        <v>147</v>
      </c>
      <c r="E15" s="92" t="s">
        <v>152</v>
      </c>
      <c r="F15" s="119" t="s">
        <v>155</v>
      </c>
      <c r="G15" s="10">
        <v>52000000</v>
      </c>
      <c r="H15" s="10">
        <v>79000000</v>
      </c>
      <c r="I15" s="10">
        <f t="shared" ref="I15:I16" si="5">H15-G15</f>
        <v>27000000</v>
      </c>
      <c r="J15" s="11">
        <f t="shared" ref="J15:J16" si="6">I15/G15</f>
        <v>0.51923076923076927</v>
      </c>
      <c r="K15" s="10">
        <v>6000000</v>
      </c>
      <c r="L15" s="10">
        <f t="shared" ref="L15:L16" si="7">G15-K15</f>
        <v>46000000</v>
      </c>
      <c r="M15" s="48"/>
      <c r="N15" s="48" t="s">
        <v>149</v>
      </c>
      <c r="O15" s="48"/>
      <c r="P15" s="10">
        <v>6000000</v>
      </c>
      <c r="Q15" s="10">
        <f t="shared" ref="Q15:Q16" si="8">G15*0.25</f>
        <v>13000000</v>
      </c>
    </row>
    <row r="16" spans="1:17" x14ac:dyDescent="0.35">
      <c r="A16" s="90" t="s">
        <v>72</v>
      </c>
      <c r="B16" s="123" t="s">
        <v>40</v>
      </c>
      <c r="C16" s="92"/>
      <c r="D16" s="92" t="s">
        <v>41</v>
      </c>
      <c r="E16" s="92" t="s">
        <v>153</v>
      </c>
      <c r="F16" s="120" t="s">
        <v>154</v>
      </c>
      <c r="G16" s="10">
        <v>15117500</v>
      </c>
      <c r="H16" s="10">
        <v>19413000</v>
      </c>
      <c r="I16" s="10">
        <f t="shared" si="5"/>
        <v>4295500</v>
      </c>
      <c r="J16" s="11">
        <f t="shared" si="6"/>
        <v>0.28414089631222095</v>
      </c>
      <c r="K16" s="10">
        <v>1500000</v>
      </c>
      <c r="L16" s="10">
        <f t="shared" si="7"/>
        <v>13617500</v>
      </c>
      <c r="M16" s="48"/>
      <c r="N16" s="48"/>
      <c r="O16" s="48"/>
      <c r="P16" s="10"/>
      <c r="Q16" s="10">
        <f t="shared" si="8"/>
        <v>3779375</v>
      </c>
    </row>
    <row r="17" spans="1:17" s="15" customFormat="1" x14ac:dyDescent="0.35">
      <c r="A17" s="16" t="s">
        <v>72</v>
      </c>
      <c r="B17" s="26" t="s">
        <v>122</v>
      </c>
      <c r="C17" s="34"/>
      <c r="D17" s="18" t="s">
        <v>76</v>
      </c>
      <c r="E17" s="18" t="s">
        <v>77</v>
      </c>
      <c r="F17" s="19"/>
      <c r="G17" s="20">
        <v>4700000</v>
      </c>
      <c r="H17" s="20">
        <v>8800000</v>
      </c>
      <c r="I17" s="20">
        <f t="shared" si="0"/>
        <v>4100000</v>
      </c>
      <c r="J17" s="21">
        <f t="shared" si="2"/>
        <v>0.87234042553191493</v>
      </c>
      <c r="K17" s="20">
        <v>0</v>
      </c>
      <c r="L17" s="20">
        <f t="shared" si="4"/>
        <v>4700000</v>
      </c>
      <c r="M17" s="22"/>
      <c r="N17" s="22"/>
      <c r="O17" s="22"/>
      <c r="P17" s="20">
        <v>2000000</v>
      </c>
      <c r="Q17" s="20">
        <f t="shared" si="1"/>
        <v>1175000</v>
      </c>
    </row>
    <row r="18" spans="1:17" s="15" customFormat="1" x14ac:dyDescent="0.35">
      <c r="A18" s="27" t="s">
        <v>68</v>
      </c>
      <c r="B18" s="26" t="s">
        <v>145</v>
      </c>
      <c r="C18" s="29"/>
      <c r="D18" s="30" t="s">
        <v>78</v>
      </c>
      <c r="E18" s="30" t="s">
        <v>79</v>
      </c>
      <c r="F18" s="31" t="s">
        <v>80</v>
      </c>
      <c r="G18" s="32">
        <v>3400000</v>
      </c>
      <c r="H18" s="32">
        <v>6200000</v>
      </c>
      <c r="I18" s="32">
        <f t="shared" si="0"/>
        <v>2800000</v>
      </c>
      <c r="J18" s="33">
        <f t="shared" si="2"/>
        <v>0.82352941176470584</v>
      </c>
      <c r="K18" s="32">
        <v>1000000</v>
      </c>
      <c r="L18" s="32">
        <v>2000000</v>
      </c>
      <c r="M18" s="22"/>
      <c r="N18" s="22"/>
      <c r="O18" s="22"/>
      <c r="P18" s="20"/>
      <c r="Q18" s="20">
        <f t="shared" si="1"/>
        <v>850000</v>
      </c>
    </row>
    <row r="19" spans="1:17" s="15" customFormat="1" x14ac:dyDescent="0.35">
      <c r="A19" s="27" t="s">
        <v>68</v>
      </c>
      <c r="B19" s="28" t="s">
        <v>81</v>
      </c>
      <c r="C19" s="29"/>
      <c r="D19" s="30" t="s">
        <v>82</v>
      </c>
      <c r="E19" s="30" t="s">
        <v>79</v>
      </c>
      <c r="F19" s="31" t="s">
        <v>83</v>
      </c>
      <c r="G19" s="32">
        <v>1600000</v>
      </c>
      <c r="H19" s="32">
        <v>2600000</v>
      </c>
      <c r="I19" s="32">
        <v>1000000</v>
      </c>
      <c r="J19" s="33">
        <f t="shared" si="2"/>
        <v>0.625</v>
      </c>
      <c r="K19" s="32">
        <v>500000</v>
      </c>
      <c r="L19" s="32">
        <v>1100000</v>
      </c>
      <c r="M19" s="22"/>
      <c r="N19" s="22"/>
      <c r="O19" s="22"/>
      <c r="P19" s="20"/>
      <c r="Q19" s="20"/>
    </row>
    <row r="20" spans="1:17" x14ac:dyDescent="0.35">
      <c r="A20" s="6" t="s">
        <v>84</v>
      </c>
      <c r="B20" s="17" t="s">
        <v>40</v>
      </c>
      <c r="C20" s="7"/>
      <c r="D20" s="8" t="s">
        <v>85</v>
      </c>
      <c r="E20" s="8" t="s">
        <v>79</v>
      </c>
      <c r="F20" s="14" t="s">
        <v>86</v>
      </c>
      <c r="G20" s="10">
        <v>4400000</v>
      </c>
      <c r="H20" s="10">
        <v>6300000</v>
      </c>
      <c r="I20" s="10">
        <v>1900000</v>
      </c>
      <c r="J20" s="11">
        <f t="shared" si="2"/>
        <v>0.43181818181818182</v>
      </c>
      <c r="K20" s="10">
        <v>1400000</v>
      </c>
      <c r="L20" s="10">
        <v>3000000</v>
      </c>
      <c r="M20" s="13"/>
      <c r="N20" s="13"/>
      <c r="O20" s="13"/>
      <c r="P20" s="10"/>
      <c r="Q20" s="10"/>
    </row>
    <row r="21" spans="1:17" s="15" customFormat="1" x14ac:dyDescent="0.35">
      <c r="A21" s="16" t="s">
        <v>87</v>
      </c>
      <c r="B21" s="118" t="s">
        <v>122</v>
      </c>
      <c r="C21" s="34"/>
      <c r="D21" s="18" t="s">
        <v>88</v>
      </c>
      <c r="E21" s="18" t="s">
        <v>89</v>
      </c>
      <c r="F21" s="19"/>
      <c r="G21" s="20">
        <v>3000000</v>
      </c>
      <c r="H21" s="20">
        <v>5600000</v>
      </c>
      <c r="I21" s="20">
        <f t="shared" ref="I21:I41" si="9">H21-G21</f>
        <v>2600000</v>
      </c>
      <c r="J21" s="21">
        <f t="shared" si="2"/>
        <v>0.8666666666666667</v>
      </c>
      <c r="K21" s="20">
        <v>0</v>
      </c>
      <c r="L21" s="20">
        <f>G21-K21</f>
        <v>3000000</v>
      </c>
      <c r="M21" s="22"/>
      <c r="N21" s="22"/>
      <c r="O21" s="22"/>
      <c r="P21" s="20">
        <v>1500000</v>
      </c>
      <c r="Q21" s="20">
        <f>G21*0.25</f>
        <v>750000</v>
      </c>
    </row>
    <row r="22" spans="1:17" s="15" customFormat="1" x14ac:dyDescent="0.35">
      <c r="A22" s="16" t="s">
        <v>87</v>
      </c>
      <c r="B22" s="17" t="s">
        <v>40</v>
      </c>
      <c r="C22" s="34"/>
      <c r="D22" s="18" t="s">
        <v>90</v>
      </c>
      <c r="E22" s="18" t="s">
        <v>89</v>
      </c>
      <c r="F22" s="19" t="s">
        <v>91</v>
      </c>
      <c r="G22" s="20">
        <v>2900000</v>
      </c>
      <c r="H22" s="20">
        <v>4600000</v>
      </c>
      <c r="I22" s="20">
        <f t="shared" si="9"/>
        <v>1700000</v>
      </c>
      <c r="J22" s="21">
        <f>I22/G22</f>
        <v>0.58620689655172409</v>
      </c>
      <c r="K22" s="20">
        <v>1000000</v>
      </c>
      <c r="L22" s="20">
        <f>G22-K22</f>
        <v>1900000</v>
      </c>
      <c r="M22" s="22"/>
      <c r="N22" s="22"/>
      <c r="O22" s="22"/>
      <c r="P22" s="20">
        <v>1500000</v>
      </c>
      <c r="Q22" s="20">
        <f>G22*0.25</f>
        <v>725000</v>
      </c>
    </row>
    <row r="23" spans="1:17" s="15" customFormat="1" x14ac:dyDescent="0.35">
      <c r="A23" s="27" t="s">
        <v>87</v>
      </c>
      <c r="B23" s="121" t="s">
        <v>40</v>
      </c>
      <c r="C23" s="29"/>
      <c r="D23" s="30" t="s">
        <v>78</v>
      </c>
      <c r="E23" s="30" t="s">
        <v>89</v>
      </c>
      <c r="F23" s="31" t="s">
        <v>92</v>
      </c>
      <c r="G23" s="32">
        <v>3675000</v>
      </c>
      <c r="H23" s="32">
        <v>6500000</v>
      </c>
      <c r="I23" s="32">
        <f t="shared" si="9"/>
        <v>2825000</v>
      </c>
      <c r="J23" s="33">
        <f>I23/G23</f>
        <v>0.76870748299319724</v>
      </c>
      <c r="K23" s="32">
        <v>1300000</v>
      </c>
      <c r="L23" s="32">
        <v>2100000</v>
      </c>
      <c r="M23" s="22"/>
      <c r="N23" s="22"/>
      <c r="O23" s="22"/>
      <c r="P23" s="20"/>
      <c r="Q23" s="20"/>
    </row>
    <row r="24" spans="1:17" s="15" customFormat="1" x14ac:dyDescent="0.35">
      <c r="A24" s="27" t="s">
        <v>87</v>
      </c>
      <c r="B24" s="28" t="s">
        <v>61</v>
      </c>
      <c r="C24" s="29"/>
      <c r="D24" s="30" t="s">
        <v>78</v>
      </c>
      <c r="E24" s="30" t="s">
        <v>93</v>
      </c>
      <c r="F24" s="31" t="s">
        <v>94</v>
      </c>
      <c r="G24" s="32">
        <v>5600000</v>
      </c>
      <c r="H24" s="32">
        <v>7400000</v>
      </c>
      <c r="I24" s="32">
        <f t="shared" si="9"/>
        <v>1800000</v>
      </c>
      <c r="J24" s="33">
        <f>I24/G24</f>
        <v>0.32142857142857145</v>
      </c>
      <c r="K24" s="32">
        <v>300000</v>
      </c>
      <c r="L24" s="32">
        <v>2600000</v>
      </c>
      <c r="M24" s="22"/>
      <c r="N24" s="22"/>
      <c r="O24" s="22"/>
      <c r="P24" s="20"/>
      <c r="Q24" s="20"/>
    </row>
    <row r="25" spans="1:17" s="15" customFormat="1" x14ac:dyDescent="0.35">
      <c r="A25" s="43"/>
      <c r="B25" s="28" t="s">
        <v>61</v>
      </c>
      <c r="C25" s="45"/>
      <c r="D25" s="100" t="s">
        <v>95</v>
      </c>
      <c r="E25" s="100" t="s">
        <v>89</v>
      </c>
      <c r="F25" s="86" t="s">
        <v>167</v>
      </c>
      <c r="G25" s="46">
        <v>2887520</v>
      </c>
      <c r="H25" s="46">
        <v>4300000</v>
      </c>
      <c r="I25" s="46">
        <f t="shared" si="9"/>
        <v>1412480</v>
      </c>
      <c r="J25" s="47">
        <f>I25/G25</f>
        <v>0.48916717459965647</v>
      </c>
      <c r="K25" s="46">
        <v>1000000</v>
      </c>
      <c r="L25" s="46">
        <f>G25-K25</f>
        <v>1887520</v>
      </c>
      <c r="M25" s="98"/>
      <c r="N25" s="98"/>
      <c r="O25" s="98"/>
      <c r="P25" s="99"/>
      <c r="Q25" s="99"/>
    </row>
    <row r="26" spans="1:17" x14ac:dyDescent="0.35">
      <c r="A26" s="43" t="s">
        <v>87</v>
      </c>
      <c r="B26" s="124" t="s">
        <v>122</v>
      </c>
      <c r="C26" s="45"/>
      <c r="D26" s="100" t="s">
        <v>95</v>
      </c>
      <c r="E26" s="100" t="s">
        <v>89</v>
      </c>
      <c r="F26" s="87" t="s">
        <v>132</v>
      </c>
      <c r="G26" s="46">
        <v>2800000</v>
      </c>
      <c r="H26" s="46">
        <v>4400000</v>
      </c>
      <c r="I26" s="46">
        <f t="shared" si="9"/>
        <v>1600000</v>
      </c>
      <c r="J26" s="47">
        <f t="shared" ref="J26" si="10">I26/G26</f>
        <v>0.5714285714285714</v>
      </c>
      <c r="K26" s="46">
        <v>300000</v>
      </c>
      <c r="L26" s="46">
        <f>G26-K26</f>
        <v>2500000</v>
      </c>
      <c r="M26" s="48"/>
      <c r="N26" s="48"/>
      <c r="O26" s="48"/>
      <c r="P26" s="49">
        <v>1500000</v>
      </c>
      <c r="Q26" s="49">
        <f>G26*0.25</f>
        <v>700000</v>
      </c>
    </row>
    <row r="27" spans="1:17" s="59" customFormat="1" x14ac:dyDescent="0.4">
      <c r="A27" s="58" t="s">
        <v>87</v>
      </c>
      <c r="B27" s="122" t="s">
        <v>122</v>
      </c>
      <c r="C27" s="38"/>
      <c r="D27" s="58" t="s">
        <v>78</v>
      </c>
      <c r="E27" s="58" t="s">
        <v>93</v>
      </c>
      <c r="F27" s="60"/>
      <c r="G27" s="39">
        <v>4450000</v>
      </c>
      <c r="H27" s="39">
        <v>6900000</v>
      </c>
      <c r="I27" s="39">
        <f t="shared" ref="I27:I36" si="11">H27-G27</f>
        <v>2450000</v>
      </c>
      <c r="J27" s="40">
        <f t="shared" ref="J27:J37" si="12">I27/G27</f>
        <v>0.550561797752809</v>
      </c>
      <c r="K27" s="39">
        <v>500000</v>
      </c>
      <c r="L27" s="39">
        <v>3450000</v>
      </c>
      <c r="M27" s="41"/>
      <c r="N27" s="41"/>
      <c r="O27" s="41"/>
      <c r="P27" s="42"/>
      <c r="Q27" s="42"/>
    </row>
    <row r="28" spans="1:17" s="15" customFormat="1" x14ac:dyDescent="0.35">
      <c r="A28" s="101" t="s">
        <v>87</v>
      </c>
      <c r="B28" s="28" t="s">
        <v>40</v>
      </c>
      <c r="C28" s="71"/>
      <c r="D28" s="72" t="s">
        <v>127</v>
      </c>
      <c r="E28" s="100" t="s">
        <v>89</v>
      </c>
      <c r="F28" s="87" t="s">
        <v>157</v>
      </c>
      <c r="G28" s="73">
        <v>5090500</v>
      </c>
      <c r="H28" s="73">
        <v>6900000</v>
      </c>
      <c r="I28" s="32">
        <f t="shared" si="11"/>
        <v>1809500</v>
      </c>
      <c r="J28" s="102">
        <f t="shared" si="12"/>
        <v>0.35546606423730476</v>
      </c>
      <c r="K28" s="73">
        <v>1000000</v>
      </c>
      <c r="L28" s="73">
        <f>G28-K28</f>
        <v>4090500</v>
      </c>
      <c r="M28" s="103"/>
      <c r="N28" s="103"/>
      <c r="O28" s="103"/>
      <c r="P28" s="104"/>
      <c r="Q28" s="104"/>
    </row>
    <row r="29" spans="1:17" s="84" customFormat="1" x14ac:dyDescent="0.35">
      <c r="A29" s="105" t="s">
        <v>87</v>
      </c>
      <c r="B29" s="26" t="s">
        <v>141</v>
      </c>
      <c r="C29" s="106"/>
      <c r="D29" s="107" t="s">
        <v>133</v>
      </c>
      <c r="E29" s="92" t="s">
        <v>89</v>
      </c>
      <c r="F29" s="108" t="s">
        <v>134</v>
      </c>
      <c r="G29" s="83">
        <v>3700000</v>
      </c>
      <c r="H29" s="83">
        <v>5900000</v>
      </c>
      <c r="I29" s="83">
        <f t="shared" si="11"/>
        <v>2200000</v>
      </c>
      <c r="J29" s="109">
        <f t="shared" si="12"/>
        <v>0.59459459459459463</v>
      </c>
      <c r="K29" s="73">
        <v>1000000</v>
      </c>
      <c r="L29" s="99">
        <f>G29-K29</f>
        <v>2700000</v>
      </c>
      <c r="M29" s="82"/>
      <c r="N29" s="82"/>
      <c r="O29" s="82"/>
      <c r="P29" s="83"/>
      <c r="Q29" s="83"/>
    </row>
    <row r="30" spans="1:17" s="15" customFormat="1" x14ac:dyDescent="0.35">
      <c r="A30" s="101" t="s">
        <v>87</v>
      </c>
      <c r="B30" s="28" t="s">
        <v>40</v>
      </c>
      <c r="C30" s="71"/>
      <c r="D30" s="72" t="s">
        <v>127</v>
      </c>
      <c r="E30" s="100" t="s">
        <v>89</v>
      </c>
      <c r="F30" s="89" t="s">
        <v>136</v>
      </c>
      <c r="G30" s="73">
        <v>7221805</v>
      </c>
      <c r="H30" s="73">
        <v>11000000</v>
      </c>
      <c r="I30" s="32">
        <v>3778195</v>
      </c>
      <c r="J30" s="102">
        <f t="shared" si="12"/>
        <v>0.52316491514240548</v>
      </c>
      <c r="K30" s="73">
        <v>1000000</v>
      </c>
      <c r="L30" s="46">
        <f t="shared" ref="L30:L31" si="13">G30-K30</f>
        <v>6221805</v>
      </c>
      <c r="M30" s="103"/>
      <c r="N30" s="103"/>
      <c r="O30" s="103"/>
      <c r="P30" s="104"/>
      <c r="Q30" s="104"/>
    </row>
    <row r="31" spans="1:17" s="15" customFormat="1" x14ac:dyDescent="0.35">
      <c r="A31" s="101" t="s">
        <v>87</v>
      </c>
      <c r="B31" s="28" t="s">
        <v>40</v>
      </c>
      <c r="C31" s="71"/>
      <c r="D31" s="72" t="s">
        <v>127</v>
      </c>
      <c r="E31" s="100" t="s">
        <v>89</v>
      </c>
      <c r="F31" s="86" t="s">
        <v>138</v>
      </c>
      <c r="G31" s="73">
        <v>7310230</v>
      </c>
      <c r="H31" s="73">
        <v>10900000</v>
      </c>
      <c r="I31" s="32">
        <v>3589770</v>
      </c>
      <c r="J31" s="102">
        <f t="shared" si="12"/>
        <v>0.4910611567625095</v>
      </c>
      <c r="K31" s="73">
        <v>1000000</v>
      </c>
      <c r="L31" s="46">
        <f t="shared" si="13"/>
        <v>6310230</v>
      </c>
      <c r="M31" s="103"/>
      <c r="N31" s="103"/>
      <c r="O31" s="103"/>
      <c r="P31" s="104"/>
      <c r="Q31" s="104"/>
    </row>
    <row r="32" spans="1:17" s="15" customFormat="1" x14ac:dyDescent="0.35">
      <c r="A32" s="101" t="s">
        <v>87</v>
      </c>
      <c r="B32" s="28" t="s">
        <v>40</v>
      </c>
      <c r="C32" s="71"/>
      <c r="D32" s="72" t="s">
        <v>127</v>
      </c>
      <c r="E32" s="100" t="s">
        <v>89</v>
      </c>
      <c r="F32" s="86" t="s">
        <v>137</v>
      </c>
      <c r="G32" s="73">
        <v>5337100</v>
      </c>
      <c r="H32" s="73">
        <v>6900000</v>
      </c>
      <c r="I32" s="32">
        <f t="shared" si="11"/>
        <v>1562900</v>
      </c>
      <c r="J32" s="102">
        <f t="shared" si="12"/>
        <v>0.29283693391542226</v>
      </c>
      <c r="K32" s="73">
        <v>1000000</v>
      </c>
      <c r="L32" s="46">
        <f>G32-K32</f>
        <v>4337100</v>
      </c>
      <c r="M32" s="103"/>
      <c r="N32" s="103"/>
      <c r="O32" s="103"/>
      <c r="P32" s="104"/>
      <c r="Q32" s="104"/>
    </row>
    <row r="33" spans="1:17" s="15" customFormat="1" x14ac:dyDescent="0.35">
      <c r="A33" s="101" t="s">
        <v>87</v>
      </c>
      <c r="B33" s="28" t="s">
        <v>40</v>
      </c>
      <c r="C33" s="71"/>
      <c r="D33" s="72" t="s">
        <v>127</v>
      </c>
      <c r="E33" s="100" t="s">
        <v>89</v>
      </c>
      <c r="F33" s="86" t="s">
        <v>135</v>
      </c>
      <c r="G33" s="73">
        <v>7363000</v>
      </c>
      <c r="H33" s="73">
        <v>10500000</v>
      </c>
      <c r="I33" s="32">
        <f t="shared" si="11"/>
        <v>3137000</v>
      </c>
      <c r="J33" s="102">
        <f t="shared" si="12"/>
        <v>0.4260491647426321</v>
      </c>
      <c r="K33" s="73">
        <v>1000000</v>
      </c>
      <c r="L33" s="46">
        <f t="shared" ref="L33:L36" si="14">G33-K33</f>
        <v>6363000</v>
      </c>
      <c r="M33" s="103"/>
      <c r="N33" s="103"/>
      <c r="O33" s="103"/>
      <c r="P33" s="104"/>
      <c r="Q33" s="104"/>
    </row>
    <row r="34" spans="1:17" s="15" customFormat="1" x14ac:dyDescent="0.35">
      <c r="A34" s="125"/>
      <c r="B34" s="26" t="s">
        <v>141</v>
      </c>
      <c r="C34" s="114"/>
      <c r="D34" s="126" t="s">
        <v>127</v>
      </c>
      <c r="E34" s="92" t="s">
        <v>89</v>
      </c>
      <c r="F34" s="108" t="s">
        <v>142</v>
      </c>
      <c r="G34" s="104">
        <v>4670920</v>
      </c>
      <c r="H34" s="104">
        <v>6900000</v>
      </c>
      <c r="I34" s="20">
        <f t="shared" si="11"/>
        <v>2229080</v>
      </c>
      <c r="J34" s="127">
        <f t="shared" si="12"/>
        <v>0.47722504346038896</v>
      </c>
      <c r="K34" s="73">
        <v>1000000</v>
      </c>
      <c r="L34" s="99">
        <f t="shared" si="14"/>
        <v>3670920</v>
      </c>
      <c r="M34" s="103"/>
      <c r="N34" s="103"/>
      <c r="O34" s="103"/>
      <c r="P34" s="104"/>
      <c r="Q34" s="104"/>
    </row>
    <row r="35" spans="1:17" s="15" customFormat="1" x14ac:dyDescent="0.35">
      <c r="A35" s="101"/>
      <c r="B35" s="28" t="s">
        <v>40</v>
      </c>
      <c r="C35" s="71"/>
      <c r="D35" s="110" t="s">
        <v>133</v>
      </c>
      <c r="E35" s="100" t="s">
        <v>89</v>
      </c>
      <c r="F35" s="87" t="s">
        <v>156</v>
      </c>
      <c r="G35" s="73">
        <v>5916000</v>
      </c>
      <c r="H35" s="73">
        <v>9900000</v>
      </c>
      <c r="I35" s="32">
        <v>3984000</v>
      </c>
      <c r="J35" s="102">
        <f t="shared" si="12"/>
        <v>0.67342799188640978</v>
      </c>
      <c r="K35" s="73">
        <v>1000000</v>
      </c>
      <c r="L35" s="46">
        <f t="shared" si="14"/>
        <v>4916000</v>
      </c>
      <c r="M35" s="103"/>
      <c r="N35" s="103"/>
      <c r="O35" s="103"/>
      <c r="P35" s="104"/>
      <c r="Q35" s="104"/>
    </row>
    <row r="36" spans="1:17" s="15" customFormat="1" x14ac:dyDescent="0.35">
      <c r="A36" s="101" t="s">
        <v>87</v>
      </c>
      <c r="B36" s="28" t="s">
        <v>40</v>
      </c>
      <c r="C36" s="71"/>
      <c r="D36" s="110" t="s">
        <v>127</v>
      </c>
      <c r="E36" s="100" t="s">
        <v>89</v>
      </c>
      <c r="F36" s="86" t="s">
        <v>128</v>
      </c>
      <c r="G36" s="73">
        <v>2804500</v>
      </c>
      <c r="H36" s="73">
        <v>3700000</v>
      </c>
      <c r="I36" s="32">
        <f t="shared" si="11"/>
        <v>895500</v>
      </c>
      <c r="J36" s="102">
        <f t="shared" si="12"/>
        <v>0.31930825459083617</v>
      </c>
      <c r="K36" s="73">
        <v>1000000</v>
      </c>
      <c r="L36" s="46">
        <f t="shared" si="14"/>
        <v>1804500</v>
      </c>
      <c r="M36" s="103"/>
      <c r="N36" s="103"/>
      <c r="O36" s="103"/>
      <c r="P36" s="104"/>
      <c r="Q36" s="104"/>
    </row>
    <row r="37" spans="1:17" s="84" customFormat="1" x14ac:dyDescent="0.35">
      <c r="A37" s="85" t="s">
        <v>87</v>
      </c>
      <c r="B37" s="121" t="s">
        <v>40</v>
      </c>
      <c r="C37" s="79"/>
      <c r="D37" s="112" t="s">
        <v>131</v>
      </c>
      <c r="E37" s="111" t="s">
        <v>129</v>
      </c>
      <c r="F37" s="88" t="s">
        <v>130</v>
      </c>
      <c r="G37" s="80">
        <v>7505400</v>
      </c>
      <c r="H37" s="80">
        <v>10959000</v>
      </c>
      <c r="I37" s="80">
        <f>H37-G37</f>
        <v>3453600</v>
      </c>
      <c r="J37" s="81">
        <f t="shared" si="12"/>
        <v>0.4601486929410824</v>
      </c>
      <c r="K37" s="80">
        <v>2500000</v>
      </c>
      <c r="L37" s="46">
        <f t="shared" ref="L37" si="15">G37-K37</f>
        <v>5005400</v>
      </c>
      <c r="M37" s="82"/>
      <c r="N37" s="82"/>
      <c r="O37" s="82"/>
      <c r="P37" s="83"/>
      <c r="Q37" s="83"/>
    </row>
    <row r="38" spans="1:17" s="84" customFormat="1" x14ac:dyDescent="0.35">
      <c r="A38" s="129" t="s">
        <v>87</v>
      </c>
      <c r="B38" s="128" t="s">
        <v>40</v>
      </c>
      <c r="C38" s="130"/>
      <c r="D38" s="131" t="s">
        <v>159</v>
      </c>
      <c r="E38" s="132" t="s">
        <v>89</v>
      </c>
      <c r="F38" s="87" t="s">
        <v>158</v>
      </c>
      <c r="G38" s="133">
        <v>5256646</v>
      </c>
      <c r="H38" s="133">
        <v>6993062</v>
      </c>
      <c r="I38" s="133">
        <v>1736416</v>
      </c>
      <c r="J38" s="134">
        <v>0.33032774130120235</v>
      </c>
      <c r="K38" s="133">
        <v>1500000</v>
      </c>
      <c r="L38" s="135">
        <v>3756646</v>
      </c>
      <c r="M38" s="136"/>
      <c r="N38" s="136"/>
      <c r="O38" s="136"/>
      <c r="P38" s="137"/>
      <c r="Q38" s="137"/>
    </row>
    <row r="39" spans="1:17" x14ac:dyDescent="0.35">
      <c r="A39" s="50" t="s">
        <v>87</v>
      </c>
      <c r="B39" s="51" t="s">
        <v>40</v>
      </c>
      <c r="C39" s="52"/>
      <c r="D39" s="53" t="s">
        <v>96</v>
      </c>
      <c r="E39" s="53" t="s">
        <v>89</v>
      </c>
      <c r="F39" s="54" t="s">
        <v>97</v>
      </c>
      <c r="G39" s="55">
        <v>5938550</v>
      </c>
      <c r="H39" s="55">
        <v>7900000</v>
      </c>
      <c r="I39" s="55">
        <f t="shared" si="9"/>
        <v>1961450</v>
      </c>
      <c r="J39" s="56">
        <f t="shared" si="2"/>
        <v>0.33029106431704708</v>
      </c>
      <c r="K39" s="55">
        <v>1300000</v>
      </c>
      <c r="L39" s="55">
        <f>G39-K39</f>
        <v>4638550</v>
      </c>
      <c r="M39" s="57"/>
      <c r="N39" s="57"/>
      <c r="O39" s="57"/>
      <c r="P39" s="55">
        <v>1500000</v>
      </c>
      <c r="Q39" s="55">
        <f>G39*0.25</f>
        <v>1484637.5</v>
      </c>
    </row>
    <row r="40" spans="1:17" s="15" customFormat="1" x14ac:dyDescent="0.4">
      <c r="A40" s="113" t="s">
        <v>87</v>
      </c>
      <c r="B40" s="51" t="s">
        <v>40</v>
      </c>
      <c r="C40" s="114"/>
      <c r="D40" s="107" t="s">
        <v>95</v>
      </c>
      <c r="E40" s="107" t="s">
        <v>89</v>
      </c>
      <c r="F40" s="115" t="s">
        <v>98</v>
      </c>
      <c r="G40" s="104">
        <v>4900000</v>
      </c>
      <c r="H40" s="104">
        <v>7200000</v>
      </c>
      <c r="I40" s="99">
        <f t="shared" si="9"/>
        <v>2300000</v>
      </c>
      <c r="J40" s="116">
        <f t="shared" si="2"/>
        <v>0.46938775510204084</v>
      </c>
      <c r="K40" s="104">
        <v>1300000</v>
      </c>
      <c r="L40" s="104">
        <v>4621000</v>
      </c>
      <c r="M40" s="103"/>
      <c r="N40" s="103"/>
      <c r="O40" s="103"/>
      <c r="P40" s="104"/>
      <c r="Q40" s="104"/>
    </row>
    <row r="41" spans="1:17" s="62" customFormat="1" x14ac:dyDescent="0.35">
      <c r="A41" s="113" t="s">
        <v>87</v>
      </c>
      <c r="B41" s="28" t="s">
        <v>61</v>
      </c>
      <c r="C41" s="29"/>
      <c r="D41" s="30" t="s">
        <v>143</v>
      </c>
      <c r="E41" s="30" t="s">
        <v>89</v>
      </c>
      <c r="F41" s="31" t="s">
        <v>144</v>
      </c>
      <c r="G41" s="32">
        <v>3625000</v>
      </c>
      <c r="H41" s="32">
        <v>5000000</v>
      </c>
      <c r="I41" s="32">
        <f t="shared" si="9"/>
        <v>1375000</v>
      </c>
      <c r="J41" s="33">
        <f t="shared" si="2"/>
        <v>0.37931034482758619</v>
      </c>
      <c r="K41" s="32">
        <v>1500000</v>
      </c>
      <c r="L41" s="32">
        <f>G41-K41</f>
        <v>2125000</v>
      </c>
      <c r="M41" s="61"/>
      <c r="N41" s="61"/>
      <c r="O41" s="61"/>
      <c r="P41" s="32"/>
      <c r="Q41" s="32"/>
    </row>
    <row r="42" spans="1:17" x14ac:dyDescent="0.35">
      <c r="A42" s="37" t="s">
        <v>99</v>
      </c>
      <c r="B42" s="17"/>
      <c r="C42" s="7"/>
      <c r="D42" s="8"/>
      <c r="E42" s="8"/>
      <c r="F42" s="14"/>
      <c r="G42" s="10"/>
      <c r="H42" s="10"/>
      <c r="I42" s="10"/>
      <c r="J42" s="11"/>
      <c r="K42" s="10"/>
      <c r="L42" s="10"/>
      <c r="M42" s="13"/>
      <c r="N42" s="13"/>
      <c r="O42" s="13"/>
      <c r="P42" s="10"/>
      <c r="Q42" s="10"/>
    </row>
    <row r="43" spans="1:17" x14ac:dyDescent="0.35">
      <c r="A43" s="35" t="s">
        <v>100</v>
      </c>
      <c r="B43" s="17" t="s">
        <v>73</v>
      </c>
      <c r="C43" s="7"/>
      <c r="D43" s="8" t="s">
        <v>101</v>
      </c>
      <c r="E43" s="8" t="s">
        <v>102</v>
      </c>
      <c r="F43" s="14" t="s">
        <v>103</v>
      </c>
      <c r="G43" s="10">
        <v>20000000</v>
      </c>
      <c r="H43" s="10">
        <v>35000000</v>
      </c>
      <c r="I43" s="10">
        <f t="shared" ref="I43:I49" si="16">H43-G43</f>
        <v>15000000</v>
      </c>
      <c r="J43" s="11">
        <f t="shared" ref="J43:J49" si="17">I43/G43</f>
        <v>0.75</v>
      </c>
      <c r="K43" s="10">
        <v>6000000</v>
      </c>
      <c r="L43" s="10">
        <f t="shared" ref="L43:L47" si="18">G43-K43</f>
        <v>14000000</v>
      </c>
      <c r="M43" s="13"/>
      <c r="N43" s="13" t="s">
        <v>104</v>
      </c>
      <c r="O43" s="13" t="s">
        <v>105</v>
      </c>
      <c r="P43" s="10">
        <v>5000000</v>
      </c>
      <c r="Q43" s="10">
        <f t="shared" ref="Q43:Q47" si="19">G43*0.25</f>
        <v>5000000</v>
      </c>
    </row>
    <row r="44" spans="1:17" s="62" customFormat="1" x14ac:dyDescent="0.35">
      <c r="A44" s="43" t="s">
        <v>56</v>
      </c>
      <c r="B44" s="44" t="s">
        <v>61</v>
      </c>
      <c r="C44" s="100"/>
      <c r="D44" s="100" t="s">
        <v>57</v>
      </c>
      <c r="E44" s="100" t="s">
        <v>58</v>
      </c>
      <c r="F44" s="31" t="s">
        <v>59</v>
      </c>
      <c r="G44" s="32">
        <v>19752203</v>
      </c>
      <c r="H44" s="32">
        <v>26856325</v>
      </c>
      <c r="I44" s="32">
        <v>6928299</v>
      </c>
      <c r="J44" s="11">
        <f t="shared" si="17"/>
        <v>0.35076082399517666</v>
      </c>
      <c r="K44" s="32">
        <f>IF(P44&gt;Q44,P44,Q44)</f>
        <v>5000000</v>
      </c>
      <c r="L44" s="32">
        <f>G44-K44</f>
        <v>14752203</v>
      </c>
      <c r="M44" s="117"/>
      <c r="N44" s="117"/>
      <c r="O44" s="117"/>
      <c r="P44" s="32">
        <v>5000000</v>
      </c>
      <c r="Q44" s="32">
        <f>G44*0.25</f>
        <v>4938050.75</v>
      </c>
    </row>
    <row r="45" spans="1:17" s="62" customFormat="1" x14ac:dyDescent="0.35">
      <c r="A45" s="43" t="s">
        <v>160</v>
      </c>
      <c r="B45" s="44" t="s">
        <v>61</v>
      </c>
      <c r="C45" s="100"/>
      <c r="D45" s="100" t="s">
        <v>57</v>
      </c>
      <c r="E45" s="100" t="s">
        <v>161</v>
      </c>
      <c r="F45" s="86" t="s">
        <v>162</v>
      </c>
      <c r="G45" s="32">
        <v>23894100</v>
      </c>
      <c r="H45" s="32">
        <v>46834000</v>
      </c>
      <c r="I45" s="32">
        <v>22939900</v>
      </c>
      <c r="J45" s="11">
        <f t="shared" si="17"/>
        <v>0.9600654554890119</v>
      </c>
      <c r="K45" s="32">
        <v>7000000</v>
      </c>
      <c r="L45" s="32">
        <v>16000000</v>
      </c>
      <c r="M45" s="117"/>
      <c r="N45" s="117"/>
      <c r="O45" s="117"/>
      <c r="P45" s="32"/>
      <c r="Q45" s="32"/>
    </row>
    <row r="46" spans="1:17" s="62" customFormat="1" x14ac:dyDescent="0.35">
      <c r="A46" s="43" t="s">
        <v>164</v>
      </c>
      <c r="B46" s="44" t="s">
        <v>61</v>
      </c>
      <c r="C46" s="100"/>
      <c r="D46" s="100" t="s">
        <v>163</v>
      </c>
      <c r="E46" s="100" t="s">
        <v>165</v>
      </c>
      <c r="F46" s="87" t="s">
        <v>166</v>
      </c>
      <c r="G46" s="32">
        <v>22460674</v>
      </c>
      <c r="H46" s="32">
        <v>45060256</v>
      </c>
      <c r="I46" s="32">
        <v>22599582</v>
      </c>
      <c r="J46" s="11">
        <f t="shared" si="17"/>
        <v>1.0061844982924377</v>
      </c>
      <c r="K46" s="32">
        <v>7000000</v>
      </c>
      <c r="L46" s="32">
        <v>15000000</v>
      </c>
      <c r="M46" s="117"/>
      <c r="N46" s="117"/>
      <c r="O46" s="117"/>
      <c r="P46" s="32"/>
      <c r="Q46" s="32"/>
    </row>
    <row r="47" spans="1:17" x14ac:dyDescent="0.35">
      <c r="A47" s="90" t="s">
        <v>139</v>
      </c>
      <c r="B47" s="91" t="s">
        <v>140</v>
      </c>
      <c r="C47" s="92"/>
      <c r="D47" s="92" t="s">
        <v>106</v>
      </c>
      <c r="E47" s="92" t="s">
        <v>107</v>
      </c>
      <c r="F47" s="19" t="s">
        <v>108</v>
      </c>
      <c r="G47" s="10">
        <v>70000000</v>
      </c>
      <c r="H47" s="10">
        <v>140000000</v>
      </c>
      <c r="I47" s="10">
        <f t="shared" si="16"/>
        <v>70000000</v>
      </c>
      <c r="J47" s="11">
        <f t="shared" si="17"/>
        <v>1</v>
      </c>
      <c r="K47" s="10">
        <f t="shared" ref="K47" si="20">IF(P47&gt;Q47,P47,Q47)</f>
        <v>17500000</v>
      </c>
      <c r="L47" s="10">
        <f t="shared" si="18"/>
        <v>52500000</v>
      </c>
      <c r="M47" s="48"/>
      <c r="N47" s="48"/>
      <c r="O47" s="48"/>
      <c r="P47" s="10">
        <v>10000000</v>
      </c>
      <c r="Q47" s="10">
        <f t="shared" si="19"/>
        <v>17500000</v>
      </c>
    </row>
    <row r="48" spans="1:17" x14ac:dyDescent="0.4">
      <c r="A48" s="93" t="s">
        <v>109</v>
      </c>
      <c r="B48" s="26" t="s">
        <v>145</v>
      </c>
      <c r="C48" s="7"/>
      <c r="D48" s="8" t="s">
        <v>110</v>
      </c>
      <c r="E48" s="8" t="s">
        <v>111</v>
      </c>
      <c r="F48" s="94" t="s">
        <v>109</v>
      </c>
      <c r="G48" s="95">
        <v>48000000</v>
      </c>
      <c r="H48" s="95">
        <v>64567000</v>
      </c>
      <c r="I48" s="95">
        <f t="shared" si="16"/>
        <v>16567000</v>
      </c>
      <c r="J48" s="96">
        <f t="shared" si="17"/>
        <v>0.34514583333333332</v>
      </c>
      <c r="K48" s="95">
        <v>9000000</v>
      </c>
      <c r="L48" s="95">
        <v>38000000</v>
      </c>
      <c r="M48" s="35"/>
      <c r="N48" s="35"/>
      <c r="O48" s="35"/>
      <c r="P48" s="97">
        <f ca="1">SUM(P2:P60)</f>
        <v>9347580050000</v>
      </c>
      <c r="Q48" s="97">
        <f ca="1">SUM(Q2:Q60)</f>
        <v>11217828873124.5</v>
      </c>
    </row>
    <row r="49" spans="1:17" x14ac:dyDescent="0.35">
      <c r="A49" s="36" t="s">
        <v>112</v>
      </c>
      <c r="B49" s="17" t="s">
        <v>113</v>
      </c>
      <c r="C49" s="18"/>
      <c r="D49" s="18" t="s">
        <v>114</v>
      </c>
      <c r="E49" s="18" t="s">
        <v>115</v>
      </c>
      <c r="F49" s="14" t="s">
        <v>116</v>
      </c>
      <c r="G49" s="10">
        <v>120000000</v>
      </c>
      <c r="H49" s="10">
        <v>200000000</v>
      </c>
      <c r="I49" s="10">
        <f t="shared" si="16"/>
        <v>80000000</v>
      </c>
      <c r="J49" s="11">
        <f t="shared" si="17"/>
        <v>0.66666666666666663</v>
      </c>
      <c r="K49" s="10">
        <v>22000000</v>
      </c>
      <c r="L49" s="10">
        <f t="shared" ref="L49" si="21">G49-K49</f>
        <v>98000000</v>
      </c>
      <c r="M49" s="13">
        <v>0</v>
      </c>
      <c r="N49" s="13" t="s">
        <v>117</v>
      </c>
      <c r="O49" s="13">
        <v>0</v>
      </c>
      <c r="P49" s="10">
        <v>23000000</v>
      </c>
      <c r="Q49" s="10">
        <f t="shared" ref="Q49" si="22">G49*0.25</f>
        <v>30000000</v>
      </c>
    </row>
    <row r="50" spans="1:17" x14ac:dyDescent="0.35">
      <c r="A50" s="36"/>
      <c r="B50" s="17"/>
      <c r="C50" s="18"/>
      <c r="D50" s="18"/>
      <c r="E50" s="18"/>
      <c r="F50" s="14"/>
      <c r="G50" s="10"/>
      <c r="H50" s="10"/>
      <c r="I50" s="10"/>
      <c r="J50" s="11"/>
      <c r="K50" s="10"/>
      <c r="L50" s="10"/>
      <c r="M50" s="13"/>
      <c r="N50" s="13"/>
      <c r="O50" s="13"/>
      <c r="P50" s="10"/>
      <c r="Q50" s="10"/>
    </row>
    <row r="51" spans="1:17" x14ac:dyDescent="0.35">
      <c r="A51" s="6"/>
      <c r="B51" s="24"/>
      <c r="C51" s="25"/>
      <c r="D51" s="25"/>
      <c r="E51" s="8"/>
      <c r="F51" s="14"/>
      <c r="G51" s="10">
        <f>SUM(G2:G49)</f>
        <v>752201346</v>
      </c>
      <c r="H51" s="10">
        <f>SUM(H2:H49)</f>
        <v>1178772643</v>
      </c>
      <c r="I51" s="10">
        <f>SUM(I2:I49)</f>
        <v>426395474</v>
      </c>
      <c r="J51" s="11"/>
      <c r="K51" s="10">
        <f>SUM(K2:K49)</f>
        <v>137679000</v>
      </c>
      <c r="L51" s="10">
        <f>SUM(L2:L49)</f>
        <v>608313572</v>
      </c>
      <c r="M51" s="13"/>
      <c r="N51" s="13"/>
      <c r="O51" s="13"/>
      <c r="P51" s="10"/>
      <c r="Q51" s="10"/>
    </row>
    <row r="52" spans="1:17" x14ac:dyDescent="0.35">
      <c r="E52" s="23"/>
      <c r="G52" s="5" t="s">
        <v>126</v>
      </c>
      <c r="H52" s="5" t="s">
        <v>125</v>
      </c>
      <c r="I52" s="5" t="s">
        <v>124</v>
      </c>
    </row>
    <row r="53" spans="1:17" x14ac:dyDescent="0.35">
      <c r="B53" s="63" t="s">
        <v>118</v>
      </c>
      <c r="C53" s="70"/>
      <c r="D53" s="64"/>
    </row>
    <row r="54" spans="1:17" x14ac:dyDescent="0.35">
      <c r="B54" s="69" t="s">
        <v>119</v>
      </c>
      <c r="C54" s="65"/>
      <c r="D54" s="66" t="s">
        <v>120</v>
      </c>
    </row>
    <row r="55" spans="1:17" x14ac:dyDescent="0.35">
      <c r="B55" s="67" t="s">
        <v>121</v>
      </c>
      <c r="C55" s="65"/>
      <c r="D55" s="68"/>
    </row>
    <row r="56" spans="1:17" x14ac:dyDescent="0.35">
      <c r="B56" s="74" t="s">
        <v>99</v>
      </c>
      <c r="C56" s="75"/>
      <c r="D56" s="76"/>
    </row>
    <row r="57" spans="1:17" x14ac:dyDescent="0.35">
      <c r="B57" s="77" t="s">
        <v>123</v>
      </c>
      <c r="C57" s="25"/>
      <c r="D57" s="78"/>
    </row>
    <row r="58" spans="1:17" x14ac:dyDescent="0.35">
      <c r="B58" s="5"/>
    </row>
    <row r="59" spans="1:17" x14ac:dyDescent="0.35">
      <c r="B59" s="5"/>
    </row>
    <row r="60" spans="1:17" x14ac:dyDescent="0.35">
      <c r="B60" s="5"/>
    </row>
    <row r="61" spans="1:17" x14ac:dyDescent="0.35">
      <c r="B61" s="5"/>
    </row>
    <row r="62" spans="1:17" x14ac:dyDescent="0.35">
      <c r="B62" s="5"/>
    </row>
    <row r="63" spans="1:17" x14ac:dyDescent="0.35">
      <c r="B63" s="5"/>
    </row>
    <row r="64" spans="1:17" x14ac:dyDescent="0.35">
      <c r="B64" s="5"/>
    </row>
    <row r="65" spans="2:2" x14ac:dyDescent="0.35">
      <c r="B65" s="5"/>
    </row>
    <row r="66" spans="2:2" x14ac:dyDescent="0.35">
      <c r="B66" s="5"/>
    </row>
    <row r="67" spans="2:2" x14ac:dyDescent="0.35">
      <c r="B67" s="5"/>
    </row>
    <row r="68" spans="2:2" x14ac:dyDescent="0.35">
      <c r="B68" s="5"/>
    </row>
    <row r="69" spans="2:2" x14ac:dyDescent="0.35">
      <c r="B69" s="5"/>
    </row>
    <row r="70" spans="2:2" x14ac:dyDescent="0.35">
      <c r="B70" s="5"/>
    </row>
    <row r="71" spans="2:2" x14ac:dyDescent="0.35">
      <c r="B71" s="5"/>
    </row>
    <row r="72" spans="2:2" x14ac:dyDescent="0.35">
      <c r="B72" s="5"/>
    </row>
    <row r="73" spans="2:2" x14ac:dyDescent="0.35">
      <c r="B73" s="5"/>
    </row>
    <row r="74" spans="2:2" x14ac:dyDescent="0.35">
      <c r="B74" s="5"/>
    </row>
    <row r="75" spans="2:2" x14ac:dyDescent="0.35">
      <c r="B75" s="5"/>
    </row>
    <row r="76" spans="2:2" x14ac:dyDescent="0.35">
      <c r="B76" s="5"/>
    </row>
    <row r="77" spans="2:2" x14ac:dyDescent="0.35">
      <c r="B77" s="5"/>
    </row>
    <row r="78" spans="2:2" x14ac:dyDescent="0.35">
      <c r="B78" s="5"/>
    </row>
    <row r="79" spans="2:2" x14ac:dyDescent="0.35">
      <c r="B79" s="5"/>
    </row>
    <row r="80" spans="2:2" x14ac:dyDescent="0.35">
      <c r="B80" s="5"/>
    </row>
    <row r="81" spans="2:2" x14ac:dyDescent="0.35">
      <c r="B81" s="5"/>
    </row>
    <row r="82" spans="2:2" x14ac:dyDescent="0.35">
      <c r="B82" s="5"/>
    </row>
    <row r="83" spans="2:2" x14ac:dyDescent="0.35">
      <c r="B83" s="5"/>
    </row>
    <row r="84" spans="2:2" x14ac:dyDescent="0.35">
      <c r="B84" s="5"/>
    </row>
    <row r="85" spans="2:2" x14ac:dyDescent="0.35">
      <c r="B85" s="5"/>
    </row>
    <row r="86" spans="2:2" x14ac:dyDescent="0.35">
      <c r="B86" s="5"/>
    </row>
    <row r="87" spans="2:2" x14ac:dyDescent="0.35">
      <c r="B87" s="5"/>
    </row>
    <row r="88" spans="2:2" x14ac:dyDescent="0.35">
      <c r="B88" s="5"/>
    </row>
    <row r="89" spans="2:2" x14ac:dyDescent="0.35">
      <c r="B89" s="5"/>
    </row>
    <row r="90" spans="2:2" x14ac:dyDescent="0.35">
      <c r="B90" s="5"/>
    </row>
    <row r="91" spans="2:2" x14ac:dyDescent="0.35">
      <c r="B91" s="5"/>
    </row>
    <row r="92" spans="2:2" x14ac:dyDescent="0.35">
      <c r="B92" s="5"/>
    </row>
    <row r="93" spans="2:2" x14ac:dyDescent="0.35">
      <c r="B93" s="5"/>
    </row>
    <row r="94" spans="2:2" x14ac:dyDescent="0.35">
      <c r="B94" s="5"/>
    </row>
    <row r="95" spans="2:2" x14ac:dyDescent="0.35">
      <c r="B95" s="5"/>
    </row>
    <row r="96" spans="2:2" x14ac:dyDescent="0.35">
      <c r="B96" s="5"/>
    </row>
    <row r="97" spans="2:2" x14ac:dyDescent="0.35">
      <c r="B97" s="5"/>
    </row>
    <row r="98" spans="2:2" x14ac:dyDescent="0.35">
      <c r="B98" s="5"/>
    </row>
    <row r="99" spans="2:2" x14ac:dyDescent="0.35">
      <c r="B99" s="5"/>
    </row>
    <row r="100" spans="2:2" x14ac:dyDescent="0.35">
      <c r="B100" s="5"/>
    </row>
    <row r="101" spans="2:2" x14ac:dyDescent="0.35">
      <c r="B101" s="5"/>
    </row>
    <row r="102" spans="2:2" x14ac:dyDescent="0.35">
      <c r="B102" s="5"/>
    </row>
    <row r="103" spans="2:2" x14ac:dyDescent="0.35">
      <c r="B103" s="5"/>
    </row>
    <row r="104" spans="2:2" x14ac:dyDescent="0.35">
      <c r="B104" s="5"/>
    </row>
    <row r="105" spans="2:2" x14ac:dyDescent="0.35">
      <c r="B105" s="5"/>
    </row>
    <row r="106" spans="2:2" x14ac:dyDescent="0.35">
      <c r="B106" s="5"/>
    </row>
    <row r="107" spans="2:2" x14ac:dyDescent="0.35">
      <c r="B107" s="5"/>
    </row>
    <row r="108" spans="2:2" x14ac:dyDescent="0.35">
      <c r="B108" s="5"/>
    </row>
    <row r="109" spans="2:2" x14ac:dyDescent="0.35">
      <c r="B109" s="5"/>
    </row>
    <row r="110" spans="2:2" x14ac:dyDescent="0.35">
      <c r="B110" s="5"/>
    </row>
    <row r="111" spans="2:2" x14ac:dyDescent="0.35">
      <c r="B111" s="5"/>
    </row>
    <row r="112" spans="2:2" x14ac:dyDescent="0.35">
      <c r="B112" s="5"/>
    </row>
    <row r="113" spans="2:2" x14ac:dyDescent="0.35">
      <c r="B113" s="5"/>
    </row>
    <row r="114" spans="2:2" x14ac:dyDescent="0.35">
      <c r="B114" s="5"/>
    </row>
    <row r="115" spans="2:2" x14ac:dyDescent="0.35">
      <c r="B115" s="5"/>
    </row>
    <row r="116" spans="2:2" x14ac:dyDescent="0.35">
      <c r="B116" s="5"/>
    </row>
    <row r="117" spans="2:2" x14ac:dyDescent="0.35">
      <c r="B117" s="5"/>
    </row>
    <row r="118" spans="2:2" x14ac:dyDescent="0.35">
      <c r="B118" s="5"/>
    </row>
    <row r="119" spans="2:2" x14ac:dyDescent="0.35">
      <c r="B119" s="5"/>
    </row>
    <row r="120" spans="2:2" x14ac:dyDescent="0.35">
      <c r="B120" s="5"/>
    </row>
    <row r="121" spans="2:2" x14ac:dyDescent="0.35">
      <c r="B121" s="5"/>
    </row>
    <row r="122" spans="2:2" x14ac:dyDescent="0.35">
      <c r="B122" s="5"/>
    </row>
    <row r="123" spans="2:2" x14ac:dyDescent="0.35">
      <c r="B123" s="5"/>
    </row>
    <row r="124" spans="2:2" x14ac:dyDescent="0.35">
      <c r="B124" s="5"/>
    </row>
    <row r="125" spans="2:2" x14ac:dyDescent="0.35">
      <c r="B125" s="5"/>
    </row>
    <row r="126" spans="2:2" x14ac:dyDescent="0.35">
      <c r="B126" s="5"/>
    </row>
    <row r="127" spans="2:2" x14ac:dyDescent="0.35">
      <c r="B127" s="5"/>
    </row>
    <row r="128" spans="2:2" x14ac:dyDescent="0.35">
      <c r="B128" s="5"/>
    </row>
    <row r="129" spans="2:2" x14ac:dyDescent="0.35">
      <c r="B129" s="5"/>
    </row>
    <row r="130" spans="2:2" x14ac:dyDescent="0.35">
      <c r="B130" s="5"/>
    </row>
    <row r="131" spans="2:2" x14ac:dyDescent="0.35">
      <c r="B131" s="5"/>
    </row>
    <row r="132" spans="2:2" x14ac:dyDescent="0.35">
      <c r="B132" s="5"/>
    </row>
    <row r="133" spans="2:2" x14ac:dyDescent="0.35">
      <c r="B133" s="5"/>
    </row>
    <row r="134" spans="2:2" x14ac:dyDescent="0.35">
      <c r="B134" s="5"/>
    </row>
    <row r="135" spans="2:2" x14ac:dyDescent="0.35">
      <c r="B135" s="5"/>
    </row>
    <row r="136" spans="2:2" x14ac:dyDescent="0.35">
      <c r="B136" s="5"/>
    </row>
    <row r="137" spans="2:2" x14ac:dyDescent="0.35">
      <c r="B137" s="5"/>
    </row>
    <row r="138" spans="2:2" x14ac:dyDescent="0.35">
      <c r="B138" s="5"/>
    </row>
    <row r="139" spans="2:2" x14ac:dyDescent="0.35">
      <c r="B139" s="5"/>
    </row>
    <row r="140" spans="2:2" x14ac:dyDescent="0.35">
      <c r="B140" s="5"/>
    </row>
    <row r="141" spans="2:2" x14ac:dyDescent="0.35">
      <c r="B141" s="5"/>
    </row>
    <row r="142" spans="2:2" x14ac:dyDescent="0.35">
      <c r="B142" s="5"/>
    </row>
    <row r="143" spans="2:2" x14ac:dyDescent="0.35">
      <c r="B143" s="5"/>
    </row>
    <row r="144" spans="2:2" x14ac:dyDescent="0.35">
      <c r="B144" s="5"/>
    </row>
    <row r="145" spans="2:2" x14ac:dyDescent="0.35">
      <c r="B145" s="5"/>
    </row>
    <row r="146" spans="2:2" x14ac:dyDescent="0.35">
      <c r="B146" s="5"/>
    </row>
    <row r="147" spans="2:2" x14ac:dyDescent="0.35">
      <c r="B147" s="5"/>
    </row>
    <row r="148" spans="2:2" x14ac:dyDescent="0.35">
      <c r="B148" s="5"/>
    </row>
    <row r="149" spans="2:2" x14ac:dyDescent="0.35">
      <c r="B149" s="5"/>
    </row>
    <row r="150" spans="2:2" x14ac:dyDescent="0.35">
      <c r="B150" s="5"/>
    </row>
    <row r="151" spans="2:2" x14ac:dyDescent="0.35">
      <c r="B151" s="5"/>
    </row>
    <row r="152" spans="2:2" x14ac:dyDescent="0.35">
      <c r="B152" s="5"/>
    </row>
    <row r="153" spans="2:2" x14ac:dyDescent="0.35">
      <c r="B153" s="5"/>
    </row>
    <row r="154" spans="2:2" x14ac:dyDescent="0.35">
      <c r="B154" s="5"/>
    </row>
    <row r="155" spans="2:2" x14ac:dyDescent="0.35">
      <c r="B155" s="5"/>
    </row>
    <row r="156" spans="2:2" x14ac:dyDescent="0.35">
      <c r="B156" s="5"/>
    </row>
    <row r="157" spans="2:2" x14ac:dyDescent="0.35">
      <c r="B157" s="5"/>
    </row>
    <row r="158" spans="2:2" x14ac:dyDescent="0.35">
      <c r="B158" s="5"/>
    </row>
    <row r="159" spans="2:2" x14ac:dyDescent="0.35">
      <c r="B159" s="5"/>
    </row>
    <row r="160" spans="2:2" x14ac:dyDescent="0.35">
      <c r="B160" s="5"/>
    </row>
    <row r="161" spans="2:2" x14ac:dyDescent="0.35">
      <c r="B161" s="5"/>
    </row>
    <row r="162" spans="2:2" x14ac:dyDescent="0.35">
      <c r="B162" s="5"/>
    </row>
    <row r="163" spans="2:2" x14ac:dyDescent="0.35">
      <c r="B163" s="5"/>
    </row>
    <row r="164" spans="2:2" x14ac:dyDescent="0.35">
      <c r="B164" s="5"/>
    </row>
    <row r="165" spans="2:2" x14ac:dyDescent="0.35">
      <c r="B165" s="5"/>
    </row>
    <row r="166" spans="2:2" x14ac:dyDescent="0.35">
      <c r="B166" s="5"/>
    </row>
    <row r="167" spans="2:2" x14ac:dyDescent="0.35">
      <c r="B167" s="5"/>
    </row>
    <row r="168" spans="2:2" x14ac:dyDescent="0.35">
      <c r="B168" s="5"/>
    </row>
    <row r="169" spans="2:2" x14ac:dyDescent="0.35">
      <c r="B169" s="5"/>
    </row>
    <row r="170" spans="2:2" x14ac:dyDescent="0.35">
      <c r="B170" s="5"/>
    </row>
    <row r="171" spans="2:2" x14ac:dyDescent="0.35">
      <c r="B171" s="5"/>
    </row>
    <row r="172" spans="2:2" x14ac:dyDescent="0.35">
      <c r="B172" s="5"/>
    </row>
    <row r="173" spans="2:2" x14ac:dyDescent="0.35">
      <c r="B173" s="5"/>
    </row>
    <row r="174" spans="2:2" x14ac:dyDescent="0.35">
      <c r="B174" s="5"/>
    </row>
    <row r="175" spans="2:2" x14ac:dyDescent="0.35">
      <c r="B175" s="5"/>
    </row>
    <row r="176" spans="2:2" x14ac:dyDescent="0.35">
      <c r="B176" s="5"/>
    </row>
    <row r="177" spans="2:2" x14ac:dyDescent="0.35">
      <c r="B177" s="5"/>
    </row>
    <row r="178" spans="2:2" x14ac:dyDescent="0.35">
      <c r="B178" s="5"/>
    </row>
    <row r="179" spans="2:2" x14ac:dyDescent="0.35">
      <c r="B179" s="5"/>
    </row>
    <row r="180" spans="2:2" x14ac:dyDescent="0.35">
      <c r="B180" s="5"/>
    </row>
    <row r="181" spans="2:2" x14ac:dyDescent="0.35">
      <c r="B181" s="5"/>
    </row>
    <row r="182" spans="2:2" x14ac:dyDescent="0.35">
      <c r="B182" s="5"/>
    </row>
    <row r="183" spans="2:2" x14ac:dyDescent="0.35">
      <c r="B183" s="5"/>
    </row>
    <row r="184" spans="2:2" x14ac:dyDescent="0.35">
      <c r="B184" s="5"/>
    </row>
    <row r="185" spans="2:2" x14ac:dyDescent="0.35">
      <c r="B185" s="5"/>
    </row>
    <row r="186" spans="2:2" x14ac:dyDescent="0.35">
      <c r="B186" s="5"/>
    </row>
    <row r="187" spans="2:2" x14ac:dyDescent="0.35">
      <c r="B187" s="5"/>
    </row>
    <row r="188" spans="2:2" x14ac:dyDescent="0.35">
      <c r="B188" s="5"/>
    </row>
    <row r="189" spans="2:2" x14ac:dyDescent="0.35">
      <c r="B189" s="5"/>
    </row>
    <row r="190" spans="2:2" x14ac:dyDescent="0.35">
      <c r="B190" s="5"/>
    </row>
    <row r="191" spans="2:2" x14ac:dyDescent="0.35">
      <c r="B191" s="5"/>
    </row>
    <row r="192" spans="2:2" x14ac:dyDescent="0.35">
      <c r="B192" s="5"/>
    </row>
    <row r="193" spans="2:2" x14ac:dyDescent="0.35">
      <c r="B193" s="5"/>
    </row>
    <row r="194" spans="2:2" x14ac:dyDescent="0.35">
      <c r="B194" s="5"/>
    </row>
    <row r="195" spans="2:2" x14ac:dyDescent="0.35">
      <c r="B195" s="5"/>
    </row>
    <row r="196" spans="2:2" x14ac:dyDescent="0.35">
      <c r="B196" s="5"/>
    </row>
    <row r="197" spans="2:2" x14ac:dyDescent="0.35">
      <c r="B197" s="5"/>
    </row>
    <row r="198" spans="2:2" x14ac:dyDescent="0.35">
      <c r="B198" s="5"/>
    </row>
    <row r="199" spans="2:2" x14ac:dyDescent="0.35">
      <c r="B199" s="5"/>
    </row>
    <row r="200" spans="2:2" x14ac:dyDescent="0.35">
      <c r="B200" s="5"/>
    </row>
    <row r="201" spans="2:2" x14ac:dyDescent="0.35">
      <c r="B201" s="5"/>
    </row>
    <row r="202" spans="2:2" x14ac:dyDescent="0.35">
      <c r="B202" s="5"/>
    </row>
    <row r="203" spans="2:2" x14ac:dyDescent="0.35">
      <c r="B203" s="5"/>
    </row>
    <row r="204" spans="2:2" x14ac:dyDescent="0.35">
      <c r="B204" s="5"/>
    </row>
    <row r="205" spans="2:2" x14ac:dyDescent="0.35">
      <c r="B205" s="5"/>
    </row>
    <row r="206" spans="2:2" x14ac:dyDescent="0.35">
      <c r="B206" s="5"/>
    </row>
    <row r="207" spans="2:2" x14ac:dyDescent="0.35">
      <c r="B207" s="5"/>
    </row>
    <row r="208" spans="2:2" x14ac:dyDescent="0.35">
      <c r="B208" s="5"/>
    </row>
    <row r="209" spans="2:2" x14ac:dyDescent="0.35">
      <c r="B209" s="5"/>
    </row>
    <row r="210" spans="2:2" x14ac:dyDescent="0.35">
      <c r="B210" s="5"/>
    </row>
    <row r="211" spans="2:2" x14ac:dyDescent="0.35">
      <c r="B211" s="5"/>
    </row>
    <row r="212" spans="2:2" x14ac:dyDescent="0.35">
      <c r="B212" s="5"/>
    </row>
    <row r="213" spans="2:2" x14ac:dyDescent="0.35">
      <c r="B213" s="5"/>
    </row>
    <row r="214" spans="2:2" x14ac:dyDescent="0.35">
      <c r="B214" s="5"/>
    </row>
    <row r="215" spans="2:2" x14ac:dyDescent="0.35">
      <c r="B215" s="5"/>
    </row>
    <row r="216" spans="2:2" x14ac:dyDescent="0.35">
      <c r="B216" s="5"/>
    </row>
    <row r="217" spans="2:2" x14ac:dyDescent="0.35">
      <c r="B217" s="5"/>
    </row>
    <row r="218" spans="2:2" x14ac:dyDescent="0.35">
      <c r="B218" s="5"/>
    </row>
    <row r="219" spans="2:2" x14ac:dyDescent="0.35">
      <c r="B219" s="5"/>
    </row>
    <row r="220" spans="2:2" x14ac:dyDescent="0.35">
      <c r="B220" s="5"/>
    </row>
    <row r="221" spans="2:2" x14ac:dyDescent="0.35">
      <c r="B221" s="5"/>
    </row>
    <row r="222" spans="2:2" x14ac:dyDescent="0.35">
      <c r="B222" s="5"/>
    </row>
    <row r="223" spans="2:2" x14ac:dyDescent="0.35">
      <c r="B223" s="5"/>
    </row>
    <row r="224" spans="2:2" x14ac:dyDescent="0.35">
      <c r="B224" s="5"/>
    </row>
    <row r="225" spans="2:2" x14ac:dyDescent="0.35">
      <c r="B225" s="5"/>
    </row>
    <row r="226" spans="2:2" x14ac:dyDescent="0.35">
      <c r="B226" s="5"/>
    </row>
    <row r="227" spans="2:2" x14ac:dyDescent="0.35">
      <c r="B227" s="5"/>
    </row>
    <row r="228" spans="2:2" x14ac:dyDescent="0.35">
      <c r="B228" s="5"/>
    </row>
    <row r="229" spans="2:2" x14ac:dyDescent="0.35">
      <c r="B229" s="5"/>
    </row>
    <row r="230" spans="2:2" x14ac:dyDescent="0.35">
      <c r="B230" s="5"/>
    </row>
    <row r="231" spans="2:2" x14ac:dyDescent="0.35">
      <c r="B231" s="5"/>
    </row>
  </sheetData>
  <phoneticPr fontId="21" type="noConversion"/>
  <hyperlinks>
    <hyperlink ref="F2" r:id="rId1" display="https://1drv.ms/f/c/70de1dfd84c7512d/EsHOW1xe4NVFvcaIq_3HbFIBMYvDcu3e9rJSpK2tcQTm9w?e=sIdqDr" xr:uid="{81E6BEAA-7CCC-470A-8AAA-DE64A1E0F720}"/>
    <hyperlink ref="F4" r:id="rId2" display="https://1drv.ms/f/c/70de1dfd84c7512d/Eke8UeJyrKtOjYRI3_oljGAB40A3kOvKpwv-rz3pP7Zvlg?e=SK71ge" xr:uid="{23ED81AC-85EA-4C4E-A2E4-F4617E591B4D}"/>
    <hyperlink ref="F7" r:id="rId3" display="https://1drv.ms/f/c/70de1dfd84c7512d/Eq5J3lVg-FxNo-75kAdpuRIBlTnfd7IuDCUQWmt3_crocQ?e=RKb05N" xr:uid="{6F213831-003A-4D64-979D-EBFFC0D7739A}"/>
    <hyperlink ref="F9" r:id="rId4" display="https://1drv.ms/f/c/c79dbf3bb2ac5882/Ev32ifszMepBtXQe64DDYD8B6d0wO0ItU1vzor15MUoqkw?e=01zr7b" xr:uid="{87921BEC-E7E8-4326-83C4-C93F4B6F8BA3}"/>
    <hyperlink ref="F3" r:id="rId5" display="https://1drv.ms/b/c/c79dbf3bb2ac5882/EYxEwkpzwhtLsoCcLnzG6TABdNHcNteBB9pxYK8XX5vhCg?e=4OTJdZ" xr:uid="{AAAC299E-2AF7-4F3F-AD8F-DB757C766FDA}"/>
    <hyperlink ref="F6" r:id="rId6" display="https://1drv.ms/f/c/70de1dfd84c7512d/Ejuc_Y6-O9lKlJKFS5oSCcIBg3VEjkZOIDwiYCdV8wdevQ?e=h1KSyD" xr:uid="{B0A9A81D-F208-4751-83B8-C2FC32FC6BF7}"/>
    <hyperlink ref="F10" r:id="rId7" display="https://1drv.ms/f/c/c79dbf3bb2ac5882/Eje04KcY1zROtS0awHGFtXkB-hjCfvRBE-RofMqMLFyGAg?e=Pij0rx" xr:uid="{300C386C-F119-4456-8C67-38062EC711B0}"/>
    <hyperlink ref="F13" r:id="rId8" xr:uid="{ADE3AE31-8715-49A5-81D5-DB82E8DA177A}"/>
    <hyperlink ref="F18" r:id="rId9" display="https://1drv.ms/f/c/c79dbf3bb2ac5882/EkifKT92byBAreKM1ROnzLoBrrV-SpmiiisFtk1Hgyu_Tg?e=yt7iQn" xr:uid="{76A382C7-8249-4506-BF22-666DFC08426A}"/>
    <hyperlink ref="F19" r:id="rId10" display="https://1drv.ms/f/c/c79dbf3bb2ac5882/EiY5GmA-6KdPmN0xCkphAeMBvb5VhmlxJjCEBCkVKjWBKg?e=du32G3" xr:uid="{D12AB2F2-6705-4BB7-84D2-3E0289D526E4}"/>
    <hyperlink ref="F20" r:id="rId11" display="https://1drv.ms/f/c/c79dbf3bb2ac5882/EodNif-ERvBApqmhpvhEdWkBvUq1wEbTB-Wzq1Fp8m10jA?e=dcjnlz" xr:uid="{1CEB04D9-8E64-4AC0-B2EC-C6F3BAE921AA}"/>
    <hyperlink ref="F12" r:id="rId12" display="https://1drv.ms/f/c/c79dbf3bb2ac5882/EtYo90IC51JKqNRWWyOFU6gBv-xix3nax-5HqHf_czhigA?e=7pW6tQ" xr:uid="{82E155CD-52B1-4EA0-AA9A-FDE67CF4007C}"/>
    <hyperlink ref="F39" r:id="rId13" display="https://1drv.ms/f/c/c79dbf3bb2ac5882/EoXluW7GY4lInFTvUvZfqeYBcXrpXUROWRY-86GBiF4Vhw?e=RFpwTJ" xr:uid="{49387BCF-FFDE-42CA-B435-269853DBDF87}"/>
    <hyperlink ref="F22" r:id="rId14" display="https://1drv.ms/f/c/c79dbf3bb2ac5882/Egrx5tE8ixZBpacg22J2MJIBPiqFwmnjaJGApFJZkjW1bA?e=wLw2pk" xr:uid="{DBE6FCA9-5CE9-4009-9308-24489206DE08}"/>
    <hyperlink ref="F11" r:id="rId15" display="https://1drv.ms/f/c/c79dbf3bb2ac5882/EjOk9LCtQNxJsEls15w6Wg4B47v8IhMV3Zb9iwaFEHOJ0Q?e=pezYLc" xr:uid="{ADC2B3FA-2112-4CF8-A708-3F7960DEB284}"/>
    <hyperlink ref="F24" r:id="rId16" display="https://1drv.ms/f/c/c79dbf3bb2ac5882/EgPO580eivZCqcuAcsMZKs8BVf_G0cZDlKFLxO754IxkOA?e=GrjlXV" xr:uid="{0E0AD0FB-203F-4EEF-9A4B-1AE5F7E9F9C6}"/>
    <hyperlink ref="F23" r:id="rId17" display="https://1drv.ms/f/c/c79dbf3bb2ac5882/EmnYvYFyEwpFmZr9vp-FNvEB-dwXw_gF4PuiJ6DVC1DPyA?e=7Yxd7L" xr:uid="{E8EC3A53-1233-4305-9E00-167532382B65}"/>
    <hyperlink ref="F5" r:id="rId18" display="https://1drv.ms/f/c/c79dbf3bb2ac5882/EojJhjZ7OZlBjI9ccCUaQN0BQtc8nehd7aTaW2xLnSiaZA?e=y5Vvln" xr:uid="{524B4BBA-BB05-4B98-A6D8-17C217E15107}"/>
    <hyperlink ref="F43" r:id="rId19" display="https://1drv.ms/f/c/c79dbf3bb2ac5882/Eg1EfOhs6xNFs1Px6QKdg0UBu8f0FyUMm93mcwDDRaOwhQ?e=MMkxPV" xr:uid="{4F0B727A-C17C-4473-96F6-DA62C5EB6333}"/>
    <hyperlink ref="F49" r:id="rId20" display="https://1drv.ms/b/c/c79dbf3bb2ac5882/ER5PWtIRlsZIuK1CQ0YNnpMBeIiEs6vW_BobAo3gLejf9g?e=r65Dmw" xr:uid="{93ED0BBB-B576-467E-A827-1CEFA02C06AA}"/>
    <hyperlink ref="F48" r:id="rId21" display="https://1drv.ms/f/c/c79dbf3bb2ac5882/ErOOBcWFczJOomQl4eLsjggBO2_eH83BhgedCU0kqjDWKw?e=p3f6Ff" xr:uid="{2B144DD7-F8AA-4207-9BF3-0CDFA94BB19F}"/>
    <hyperlink ref="F40" r:id="rId22" xr:uid="{781D4034-B422-4F5F-BA51-B4B31C595E63}"/>
    <hyperlink ref="F37" r:id="rId23" display="https://urldefense.proofpoint.com/v2/url?u=http-3A__Www.260castro.com&amp;d=DwMGaQ&amp;c=euGZstcaTDllvimEN8b7jXrwqOf-v5A_CdpgnVfiiMM&amp;r=g33Hpe1bw0wElOmz8Nl4U2FAzrADzOJn36RX45TfucTGpn0TRygdypgXRcxseqIB&amp;m=h-20Gw89BkG1X0J_6d55bmu48zhh5W1p8k6YsVhVUYm8ZO2O3btWEXHWCz7T8Pg8&amp;s=rQWVwkjGca4kvZrgatfSQ1ijvibM04Ox_rKOfpqb9bM&amp;e=" xr:uid="{20768544-46D6-494F-8BAA-5059CC8C161F}"/>
    <hyperlink ref="F29" r:id="rId24" display="https://1drv.ms/f/c/c79dbf3bb2ac5882/EnhzYMBu_tZOlSUzWrNc0swB_NxFvm8MBWx9hwkKMBY1bA?e=eeyKKF" xr:uid="{80BAA0BA-4115-4CF7-B7F4-376C2992D785}"/>
    <hyperlink ref="F47" r:id="rId25" display="https://1drv.ms/f/c/c79dbf3bb2ac5882/EtPyQ8ONeadNs9DvnjuJdAEBV8GZpU5fovIzHoKFg3bsmQ?e=lMgPe3" xr:uid="{9271E3C0-9723-433B-9F44-B3FBA4115832}"/>
    <hyperlink ref="F8" r:id="rId26" display="https://1drv.ms/f/c/70de1dfd84c7512d/EjidkDUN4f5Dh3LK7GY4onMBeEPZAzhGFeXmbizTFJdEhg?e=HpzD3E" xr:uid="{69F3BD3D-89E5-498D-BDCF-AEA5D2FCE34C}"/>
    <hyperlink ref="F33" r:id="rId27" display="https://1drv.ms/f/c/c79dbf3bb2ac5882/EnWyrCLfwMlNnYAZ9mL5cQ4BEtaI2iFTknnQNTEPUMDWAQ?e=3L7Hzd" xr:uid="{4ED17D53-C303-418D-933C-7030C2B5DDFB}"/>
    <hyperlink ref="F26" r:id="rId28" display="https://1drv.ms/f/c/c79dbf3bb2ac5882/EqWAwzHOQvpCvCIV0eW5OfABlS3cIlaIkeVJYwqORjJrsw?e=FY9EEW" xr:uid="{8B94E36D-A148-4EE9-99E2-EE48615AA21A}"/>
    <hyperlink ref="F30" r:id="rId29" display="https://1drv.ms/f/c/c79dbf3bb2ac5882/Eti4rBLVqIpMpsS2l2unNRYBsweshpZ5QmVS4Sp7htiWYA?e=xAo1lD" xr:uid="{8D55D126-C713-40CC-B97A-FB8005901AFE}"/>
    <hyperlink ref="F31" r:id="rId30" display="https://1drv.ms/f/c/c79dbf3bb2ac5882/EvtdcoP2hjhEsr6NwW2BLVoBD9AI7_v3nm6pjlqfHCEzZg?e=G3AKqa" xr:uid="{40308106-94C5-4AB8-A676-1069C3ABCC43}"/>
    <hyperlink ref="F32" r:id="rId31" display="https://1drv.ms/f/c/c79dbf3bb2ac5882/EuYgLtrJ2CFBrYn0yHy3p44BCVl1Sy99OZCe3f2beVfk9w?e=zOn1bM" xr:uid="{878487FF-0F32-49FA-AF4B-98A2AA5B3FB4}"/>
    <hyperlink ref="F36" r:id="rId32" display="https://1drv.ms/f/c/c79dbf3bb2ac5882/ElfDtpAgYxlDklWQ4XvlhLQBm4CyxTU55UQGh9MMCk6gnA?e=Ncm31I" xr:uid="{01CB8E2A-31E9-43B8-8BF0-7B793E1C05DD}"/>
    <hyperlink ref="F44" r:id="rId33" display="https://1drv.ms/f/c/c79dbf3bb2ac5882/Ev32ifszMepBtXQe64DDYD8B6d0wO0ItU1vzor15MUoqkw?e=01zr7b" xr:uid="{0E550DB3-2C4A-45CD-99A7-A86D3F686958}"/>
    <hyperlink ref="F14" r:id="rId34" display="https://1drv.ms/f/c/c79dbf3bb2ac5882/EjMXcIlCxRFHg48J4KuirlIBCeEQaQQm6R6C_vdr75hDdg?e=c0p9TQ" xr:uid="{B41B5209-5051-4C82-966D-7CC5D1FFC767}"/>
    <hyperlink ref="F15" r:id="rId35" display="https://trwinery.com/" xr:uid="{C2C64023-9FA6-4918-8BE6-B68E8686E666}"/>
    <hyperlink ref="F16" r:id="rId36" xr:uid="{4DF3653B-A35D-48DD-A53E-EF6795DE043D}"/>
    <hyperlink ref="F35" r:id="rId37" display="https://1drv.ms/f/c/c79dbf3bb2ac5882/Ej23t4bDbRdCnIWTHK-vNIEBo8Zb5nyI_7UjXCC6B71sWw?e=RfUzni" xr:uid="{A1F38D10-49CC-455B-A0F5-2C173D521A83}"/>
    <hyperlink ref="F28" r:id="rId38" display="https://1drv.ms/f/c/c79dbf3bb2ac5882/EmWA671Y7oVCuB1KLfGPs2UBbd6MNRrbh8cqMbobsCYbGw?e=1XCxJS" xr:uid="{09D7C7BD-4E27-4617-998B-15E8242141D2}"/>
    <hyperlink ref="F38" r:id="rId39" display="https://1drv.ms/f/c/c79dbf3bb2ac5882/EtrBQRjap4tHusPRCtTR3O4By5AeAcIgPlGH0t7hnWiXOQ?e=fHSsuQ" xr:uid="{9817F6D2-4DE0-45D1-993F-1B6C5B63F825}"/>
    <hyperlink ref="F45" r:id="rId40" display="https://1drv.ms/f/c/c79dbf3bb2ac5882/IgBS9bPs5dQDSaWCIVvvPQGCAcAUaUyHu9dTB2vHThdaC9s?e=haq5Jk" xr:uid="{66B0AF92-BE9B-4DBE-98F8-65956D4BA27E}"/>
    <hyperlink ref="F46" r:id="rId41" display="https://1drv.ms/f/c/c79dbf3bb2ac5882/IgBg4fdg3oBsTbLjTok49zXaAWqkpsPWym2qAQa7gJNtPNY?e=2BRvna" xr:uid="{DAE3568F-4EA6-43C3-9FD5-F1BB37A45698}"/>
    <hyperlink ref="F25" r:id="rId42" display="https://1drv.ms/f/c/c79dbf3bb2ac5882/IgArO2d9riqsRaxumMCWJ3kgAcveLXoYjMJsdBreVtCg3ww?e=ZkNIXc" xr:uid="{FB8A3F02-1FE5-4850-9AD3-752A20E4C17D}"/>
  </hyperlinks>
  <pageMargins left="0.25" right="0.25" top="0.75" bottom="0.75" header="0.3" footer="0.3"/>
  <pageSetup paperSize="3" scale="66" fitToWidth="0" orientation="landscape" r:id="rId43"/>
  <legacyDrawing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Curent opportunity's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Bianchi</dc:creator>
  <cp:keywords/>
  <dc:description/>
  <cp:lastModifiedBy>Paul Bianchi</cp:lastModifiedBy>
  <cp:revision/>
  <cp:lastPrinted>2026-01-06T18:14:27Z</cp:lastPrinted>
  <dcterms:created xsi:type="dcterms:W3CDTF">2025-07-23T02:14:26Z</dcterms:created>
  <dcterms:modified xsi:type="dcterms:W3CDTF">2026-01-08T01:49:48Z</dcterms:modified>
  <cp:category/>
  <cp:contentStatus/>
</cp:coreProperties>
</file>